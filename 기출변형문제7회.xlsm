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2022 전은규\컴활 2급 실기 자료\2022컴활2급\기출변형문제\"/>
    </mc:Choice>
  </mc:AlternateContent>
  <xr:revisionPtr revIDLastSave="0" documentId="13_ncr:1_{51260B15-3673-4131-8C2B-E666495B90CF}" xr6:coauthVersionLast="47" xr6:coauthVersionMax="47" xr10:uidLastSave="{00000000-0000-0000-0000-000000000000}"/>
  <bookViews>
    <workbookView xWindow="-120" yWindow="-120" windowWidth="29040" windowHeight="15840" tabRatio="942" activeTab="8" xr2:uid="{00000000-000D-0000-FFFF-FFFF00000000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9" r:id="rId6"/>
    <sheet name="분석작업-2" sheetId="6" r:id="rId7"/>
    <sheet name="매크로작업" sheetId="7" r:id="rId8"/>
    <sheet name="차트작업" sheetId="8" r:id="rId9"/>
  </sheets>
  <definedNames>
    <definedName name="기타경비">'분석작업-2'!$D$15</definedName>
    <definedName name="순이익평균">'분석작업-2'!$G$10</definedName>
    <definedName name="어린이회원명단">'기본작업-2'!$A$5:$A$14</definedName>
    <definedName name="연평균성장률">'분석작업-2'!$D$13</definedName>
    <definedName name="원가비율">'분석작업-2'!$D$14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7" i="7" l="1"/>
  <c r="H8" i="7"/>
  <c r="H9" i="7"/>
  <c r="H10" i="7"/>
  <c r="H11" i="7"/>
  <c r="H12" i="7"/>
  <c r="H13" i="7"/>
  <c r="H14" i="7"/>
  <c r="H6" i="7"/>
  <c r="E34" i="4"/>
  <c r="E35" i="4"/>
  <c r="E36" i="4"/>
  <c r="E37" i="4"/>
  <c r="E38" i="4"/>
  <c r="E39" i="4"/>
  <c r="E33" i="4"/>
  <c r="I33" i="4"/>
  <c r="I32" i="4"/>
  <c r="I31" i="4"/>
  <c r="F22" i="4"/>
  <c r="F23" i="4"/>
  <c r="F24" i="4"/>
  <c r="F25" i="4"/>
  <c r="F26" i="4"/>
  <c r="F27" i="4"/>
  <c r="F28" i="4"/>
  <c r="F21" i="4"/>
  <c r="M4" i="4"/>
  <c r="M5" i="4"/>
  <c r="M6" i="4"/>
  <c r="M7" i="4"/>
  <c r="M8" i="4"/>
  <c r="M9" i="4"/>
  <c r="M3" i="4"/>
  <c r="E4" i="4"/>
  <c r="E5" i="4"/>
  <c r="E6" i="4"/>
  <c r="E7" i="4"/>
  <c r="E8" i="4"/>
  <c r="E9" i="4"/>
  <c r="E3" i="4"/>
  <c r="I64" i="5" l="1"/>
  <c r="I61" i="5"/>
  <c r="I58" i="5"/>
  <c r="I55" i="5"/>
  <c r="I52" i="5"/>
  <c r="I49" i="5"/>
  <c r="I46" i="5"/>
  <c r="I43" i="5"/>
  <c r="I40" i="5"/>
  <c r="I37" i="5"/>
  <c r="I33" i="5"/>
  <c r="I30" i="5"/>
  <c r="I27" i="5"/>
  <c r="I23" i="5"/>
  <c r="I19" i="5"/>
  <c r="I16" i="5"/>
  <c r="I13" i="5"/>
  <c r="I10" i="5"/>
  <c r="I7" i="5"/>
  <c r="I66" i="5" s="1"/>
  <c r="E65" i="5"/>
  <c r="E62" i="5"/>
  <c r="E59" i="5"/>
  <c r="E56" i="5"/>
  <c r="E53" i="5"/>
  <c r="E50" i="5"/>
  <c r="E47" i="5"/>
  <c r="E44" i="5"/>
  <c r="E41" i="5"/>
  <c r="E38" i="5"/>
  <c r="E34" i="5"/>
  <c r="E31" i="5"/>
  <c r="E28" i="5"/>
  <c r="E24" i="5"/>
  <c r="E20" i="5"/>
  <c r="E17" i="5"/>
  <c r="E14" i="5"/>
  <c r="E11" i="5"/>
  <c r="E8" i="5"/>
  <c r="E67" i="5" l="1"/>
  <c r="L28" i="4"/>
  <c r="L27" i="4"/>
  <c r="L26" i="4"/>
  <c r="L25" i="4"/>
  <c r="L24" i="4"/>
  <c r="L23" i="4"/>
  <c r="L22" i="4"/>
  <c r="L21" i="4"/>
  <c r="L20" i="4"/>
  <c r="E15" i="8" l="1"/>
  <c r="E14" i="8"/>
  <c r="E13" i="8"/>
  <c r="E12" i="8"/>
  <c r="E11" i="8"/>
  <c r="E10" i="8"/>
  <c r="E9" i="8"/>
  <c r="E8" i="8"/>
  <c r="E7" i="8"/>
  <c r="E6" i="8"/>
  <c r="H15" i="7"/>
  <c r="G15" i="7"/>
  <c r="E15" i="7"/>
  <c r="D15" i="7"/>
  <c r="F14" i="7"/>
  <c r="I14" i="7" s="1"/>
  <c r="F13" i="7"/>
  <c r="I13" i="7" s="1"/>
  <c r="F12" i="7"/>
  <c r="I12" i="7" s="1"/>
  <c r="F11" i="7"/>
  <c r="I11" i="7" s="1"/>
  <c r="F10" i="7"/>
  <c r="I10" i="7" s="1"/>
  <c r="F9" i="7"/>
  <c r="I9" i="7" s="1"/>
  <c r="F8" i="7"/>
  <c r="I8" i="7" s="1"/>
  <c r="F7" i="7"/>
  <c r="I7" i="7" s="1"/>
  <c r="F6" i="7"/>
  <c r="D8" i="6"/>
  <c r="G7" i="6"/>
  <c r="D6" i="6"/>
  <c r="E5" i="6"/>
  <c r="D9" i="4"/>
  <c r="D8" i="4"/>
  <c r="D7" i="4"/>
  <c r="D6" i="4"/>
  <c r="D5" i="4"/>
  <c r="D4" i="4"/>
  <c r="D3" i="4"/>
  <c r="I13" i="3"/>
  <c r="H13" i="3"/>
  <c r="I12" i="3"/>
  <c r="H12" i="3"/>
  <c r="I11" i="3"/>
  <c r="H11" i="3"/>
  <c r="I10" i="3"/>
  <c r="H10" i="3"/>
  <c r="I9" i="3"/>
  <c r="H9" i="3"/>
  <c r="I8" i="3"/>
  <c r="H8" i="3"/>
  <c r="I7" i="3"/>
  <c r="H7" i="3"/>
  <c r="I6" i="3"/>
  <c r="H6" i="3"/>
  <c r="I5" i="3"/>
  <c r="H5" i="3"/>
  <c r="F15" i="7" l="1"/>
  <c r="I6" i="7"/>
  <c r="I15" i="7" s="1"/>
  <c r="F5" i="6"/>
  <c r="E6" i="6"/>
  <c r="D9" i="6"/>
  <c r="D10" i="6" s="1"/>
  <c r="E8" i="6"/>
  <c r="F6" i="6" l="1"/>
  <c r="G6" i="6" s="1"/>
  <c r="F8" i="6"/>
  <c r="G8" i="6" s="1"/>
  <c r="E9" i="6"/>
  <c r="E10" i="6" s="1"/>
  <c r="G5" i="6"/>
  <c r="G9" i="6" l="1"/>
  <c r="G10" i="6" s="1"/>
  <c r="F9" i="6"/>
  <c r="F10" i="6" s="1"/>
</calcChain>
</file>

<file path=xl/sharedStrings.xml><?xml version="1.0" encoding="utf-8"?>
<sst xmlns="http://schemas.openxmlformats.org/spreadsheetml/2006/main" count="393" uniqueCount="318">
  <si>
    <t>택배 신청, 접수 현황</t>
    <phoneticPr fontId="4" type="noConversion"/>
  </si>
  <si>
    <t>성장클리닉 어린이회원성장결과표</t>
    <phoneticPr fontId="4" type="noConversion"/>
  </si>
  <si>
    <t>성명</t>
    <phoneticPr fontId="4" type="noConversion"/>
  </si>
  <si>
    <t>나이</t>
    <phoneticPr fontId="4" type="noConversion"/>
  </si>
  <si>
    <t>성별</t>
    <phoneticPr fontId="4" type="noConversion"/>
  </si>
  <si>
    <t>키</t>
    <phoneticPr fontId="4" type="noConversion"/>
  </si>
  <si>
    <t>몸무게</t>
    <phoneticPr fontId="4" type="noConversion"/>
  </si>
  <si>
    <t>특이사항</t>
    <phoneticPr fontId="4" type="noConversion"/>
  </si>
  <si>
    <t>전년도</t>
    <phoneticPr fontId="4" type="noConversion"/>
  </si>
  <si>
    <t>당해년도</t>
    <phoneticPr fontId="4" type="noConversion"/>
  </si>
  <si>
    <t>전년도</t>
    <phoneticPr fontId="4" type="noConversion"/>
  </si>
  <si>
    <t>하태선</t>
  </si>
  <si>
    <t>남</t>
    <phoneticPr fontId="4" type="noConversion"/>
  </si>
  <si>
    <t>유연선</t>
  </si>
  <si>
    <t>남</t>
    <phoneticPr fontId="4" type="noConversion"/>
  </si>
  <si>
    <t>전지윤</t>
  </si>
  <si>
    <t>추가운동필요</t>
    <phoneticPr fontId="4" type="noConversion"/>
  </si>
  <si>
    <t>김문선</t>
  </si>
  <si>
    <t>권경복</t>
  </si>
  <si>
    <t>김대현</t>
  </si>
  <si>
    <t>손신애</t>
  </si>
  <si>
    <t>여</t>
    <phoneticPr fontId="4" type="noConversion"/>
  </si>
  <si>
    <t>박선영</t>
  </si>
  <si>
    <t>공병구</t>
  </si>
  <si>
    <t>이종칠</t>
  </si>
  <si>
    <t>[표1] 지점판매실적</t>
    <phoneticPr fontId="4" type="noConversion"/>
  </si>
  <si>
    <t>( 단위 : 금액,백만원 )</t>
    <phoneticPr fontId="4" type="noConversion"/>
  </si>
  <si>
    <t>성명</t>
    <phoneticPr fontId="4" type="noConversion"/>
  </si>
  <si>
    <t>전년실적</t>
    <phoneticPr fontId="4" type="noConversion"/>
  </si>
  <si>
    <t>목표</t>
    <phoneticPr fontId="4" type="noConversion"/>
  </si>
  <si>
    <t>실적</t>
    <phoneticPr fontId="4" type="noConversion"/>
  </si>
  <si>
    <t>증감(금액기준)</t>
    <phoneticPr fontId="4" type="noConversion"/>
  </si>
  <si>
    <t>건수</t>
    <phoneticPr fontId="4" type="noConversion"/>
  </si>
  <si>
    <t>금액</t>
    <phoneticPr fontId="4" type="noConversion"/>
  </si>
  <si>
    <t>전년vs실적</t>
    <phoneticPr fontId="4" type="noConversion"/>
  </si>
  <si>
    <t>목표vs실적</t>
    <phoneticPr fontId="4" type="noConversion"/>
  </si>
  <si>
    <t>박명규</t>
  </si>
  <si>
    <t>성기혁</t>
  </si>
  <si>
    <t>김기인</t>
  </si>
  <si>
    <t>임수지</t>
  </si>
  <si>
    <t>남태규</t>
  </si>
  <si>
    <t>최성중</t>
  </si>
  <si>
    <t>홍정선</t>
  </si>
  <si>
    <t>김병태</t>
  </si>
  <si>
    <t>박두순</t>
  </si>
  <si>
    <t>[표1] 직원급여 내역</t>
    <phoneticPr fontId="4" type="noConversion"/>
  </si>
  <si>
    <t>[표2] 조별 단합대회 경기결과표</t>
    <phoneticPr fontId="4" type="noConversion"/>
  </si>
  <si>
    <t>기본급</t>
    <phoneticPr fontId="4" type="noConversion"/>
  </si>
  <si>
    <t>상여금</t>
    <phoneticPr fontId="4" type="noConversion"/>
  </si>
  <si>
    <t>급여총액</t>
    <phoneticPr fontId="4" type="noConversion"/>
  </si>
  <si>
    <t>세금공제액</t>
    <phoneticPr fontId="4" type="noConversion"/>
  </si>
  <si>
    <t>축구</t>
    <phoneticPr fontId="4" type="noConversion"/>
  </si>
  <si>
    <t>줄다리기</t>
    <phoneticPr fontId="4" type="noConversion"/>
  </si>
  <si>
    <t>장기자랑</t>
    <phoneticPr fontId="4" type="noConversion"/>
  </si>
  <si>
    <t>총점</t>
    <phoneticPr fontId="4" type="noConversion"/>
  </si>
  <si>
    <t>경품내역</t>
    <phoneticPr fontId="4" type="noConversion"/>
  </si>
  <si>
    <t>권영기</t>
  </si>
  <si>
    <t>1조</t>
    <phoneticPr fontId="4" type="noConversion"/>
  </si>
  <si>
    <t>김홍열</t>
  </si>
  <si>
    <t>2조</t>
    <phoneticPr fontId="4" type="noConversion"/>
  </si>
  <si>
    <t>신해균</t>
  </si>
  <si>
    <t>3조</t>
  </si>
  <si>
    <t>장태호</t>
  </si>
  <si>
    <t>4조</t>
  </si>
  <si>
    <t>함지윤</t>
  </si>
  <si>
    <t>5조</t>
  </si>
  <si>
    <t>전인아</t>
  </si>
  <si>
    <t>6조</t>
  </si>
  <si>
    <t>류성태</t>
  </si>
  <si>
    <t>7조</t>
  </si>
  <si>
    <t>세금조건표</t>
    <phoneticPr fontId="4" type="noConversion"/>
  </si>
  <si>
    <t>부터</t>
    <phoneticPr fontId="4" type="noConversion"/>
  </si>
  <si>
    <t>까지</t>
    <phoneticPr fontId="4" type="noConversion"/>
  </si>
  <si>
    <t>세율</t>
    <phoneticPr fontId="4" type="noConversion"/>
  </si>
  <si>
    <t>누진공제</t>
    <phoneticPr fontId="4" type="noConversion"/>
  </si>
  <si>
    <t>순위</t>
    <phoneticPr fontId="4" type="noConversion"/>
  </si>
  <si>
    <t>경품</t>
    <phoneticPr fontId="4" type="noConversion"/>
  </si>
  <si>
    <t>외식상품권</t>
    <phoneticPr fontId="4" type="noConversion"/>
  </si>
  <si>
    <t>주유권</t>
    <phoneticPr fontId="4" type="noConversion"/>
  </si>
  <si>
    <t>문화상품권</t>
    <phoneticPr fontId="4" type="noConversion"/>
  </si>
  <si>
    <t>[표3] 버스운행시간표</t>
    <phoneticPr fontId="4" type="noConversion"/>
  </si>
  <si>
    <t>차번호</t>
    <phoneticPr fontId="4" type="noConversion"/>
  </si>
  <si>
    <t>도착지</t>
    <phoneticPr fontId="4" type="noConversion"/>
  </si>
  <si>
    <t>출발시간</t>
    <phoneticPr fontId="4" type="noConversion"/>
  </si>
  <si>
    <t>정류장 개수</t>
    <phoneticPr fontId="4" type="noConversion"/>
  </si>
  <si>
    <t>정류장당</t>
    <phoneticPr fontId="4" type="noConversion"/>
  </si>
  <si>
    <t>도착예정시간</t>
    <phoneticPr fontId="4" type="noConversion"/>
  </si>
  <si>
    <t>부서명</t>
    <phoneticPr fontId="4" type="noConversion"/>
  </si>
  <si>
    <t>소요시간(분)</t>
    <phoneticPr fontId="4" type="noConversion"/>
  </si>
  <si>
    <t>도봉</t>
    <phoneticPr fontId="4" type="noConversion"/>
  </si>
  <si>
    <t>영업부</t>
    <phoneticPr fontId="4" type="noConversion"/>
  </si>
  <si>
    <t>알리칸</t>
    <phoneticPr fontId="4" type="noConversion"/>
  </si>
  <si>
    <t>파주</t>
    <phoneticPr fontId="4" type="noConversion"/>
  </si>
  <si>
    <t>김포</t>
    <phoneticPr fontId="4" type="noConversion"/>
  </si>
  <si>
    <t>상암</t>
    <phoneticPr fontId="4" type="noConversion"/>
  </si>
  <si>
    <t>상계</t>
    <phoneticPr fontId="4" type="noConversion"/>
  </si>
  <si>
    <t>군포</t>
    <phoneticPr fontId="4" type="noConversion"/>
  </si>
  <si>
    <t>강남</t>
    <phoneticPr fontId="4" type="noConversion"/>
  </si>
  <si>
    <t>성북</t>
    <phoneticPr fontId="4" type="noConversion"/>
  </si>
  <si>
    <t>[표5] 완제품 생산현황</t>
    <phoneticPr fontId="4" type="noConversion"/>
  </si>
  <si>
    <t>생산일자</t>
    <phoneticPr fontId="4" type="noConversion"/>
  </si>
  <si>
    <t>공정</t>
    <phoneticPr fontId="4" type="noConversion"/>
  </si>
  <si>
    <t>제품</t>
    <phoneticPr fontId="4" type="noConversion"/>
  </si>
  <si>
    <t>옵션</t>
    <phoneticPr fontId="4" type="noConversion"/>
  </si>
  <si>
    <t>제품식별번호</t>
    <phoneticPr fontId="4" type="noConversion"/>
  </si>
  <si>
    <t>ps01</t>
    <phoneticPr fontId="4" type="noConversion"/>
  </si>
  <si>
    <t>pgh</t>
    <phoneticPr fontId="4" type="noConversion"/>
  </si>
  <si>
    <t>a</t>
    <phoneticPr fontId="4" type="noConversion"/>
  </si>
  <si>
    <t>ps02</t>
  </si>
  <si>
    <t>pgw</t>
    <phoneticPr fontId="4" type="noConversion"/>
  </si>
  <si>
    <t>s</t>
    <phoneticPr fontId="4" type="noConversion"/>
  </si>
  <si>
    <t>ps03</t>
  </si>
  <si>
    <t>pgs</t>
    <phoneticPr fontId="4" type="noConversion"/>
  </si>
  <si>
    <t>f</t>
    <phoneticPr fontId="4" type="noConversion"/>
  </si>
  <si>
    <t>ps03</t>
    <phoneticPr fontId="4" type="noConversion"/>
  </si>
  <si>
    <t>pgf</t>
    <phoneticPr fontId="4" type="noConversion"/>
  </si>
  <si>
    <t>w</t>
    <phoneticPr fontId="4" type="noConversion"/>
  </si>
  <si>
    <t>ps04</t>
    <phoneticPr fontId="4" type="noConversion"/>
  </si>
  <si>
    <t>a</t>
    <phoneticPr fontId="4" type="noConversion"/>
  </si>
  <si>
    <t>ps01</t>
    <phoneticPr fontId="4" type="noConversion"/>
  </si>
  <si>
    <t>pgh</t>
    <phoneticPr fontId="4" type="noConversion"/>
  </si>
  <si>
    <t>s</t>
    <phoneticPr fontId="4" type="noConversion"/>
  </si>
  <si>
    <t>ps02</t>
    <phoneticPr fontId="4" type="noConversion"/>
  </si>
  <si>
    <t>q</t>
    <phoneticPr fontId="4" type="noConversion"/>
  </si>
  <si>
    <t>[표1] 차량운송현황</t>
    <phoneticPr fontId="4" type="noConversion"/>
  </si>
  <si>
    <t>일자</t>
    <phoneticPr fontId="4" type="noConversion"/>
  </si>
  <si>
    <t>차량번호</t>
    <phoneticPr fontId="4" type="noConversion"/>
  </si>
  <si>
    <t>거래처</t>
    <phoneticPr fontId="4" type="noConversion"/>
  </si>
  <si>
    <t>수량</t>
    <phoneticPr fontId="4" type="noConversion"/>
  </si>
  <si>
    <t>협력사</t>
    <phoneticPr fontId="4" type="noConversion"/>
  </si>
  <si>
    <t>청구단가</t>
    <phoneticPr fontId="4" type="noConversion"/>
  </si>
  <si>
    <t>지급단가</t>
    <phoneticPr fontId="4" type="noConversion"/>
  </si>
  <si>
    <t>지급액</t>
    <phoneticPr fontId="4" type="noConversion"/>
  </si>
  <si>
    <t>홍신기업</t>
  </si>
  <si>
    <t>안산</t>
    <phoneticPr fontId="4" type="noConversion"/>
  </si>
  <si>
    <t>자차</t>
    <phoneticPr fontId="4" type="noConversion"/>
  </si>
  <si>
    <t>초석산업</t>
  </si>
  <si>
    <t>군위</t>
    <phoneticPr fontId="4" type="noConversion"/>
  </si>
  <si>
    <t>고령</t>
    <phoneticPr fontId="4" type="noConversion"/>
  </si>
  <si>
    <t>자차</t>
    <phoneticPr fontId="4" type="noConversion"/>
  </si>
  <si>
    <t>영천</t>
    <phoneticPr fontId="4" type="noConversion"/>
  </si>
  <si>
    <t>전국</t>
    <phoneticPr fontId="4" type="noConversion"/>
  </si>
  <si>
    <t>고령</t>
    <phoneticPr fontId="4" type="noConversion"/>
  </si>
  <si>
    <t>한성</t>
    <phoneticPr fontId="4" type="noConversion"/>
  </si>
  <si>
    <t>한성</t>
    <phoneticPr fontId="4" type="noConversion"/>
  </si>
  <si>
    <t>구상공업</t>
  </si>
  <si>
    <t>영천</t>
    <phoneticPr fontId="4" type="noConversion"/>
  </si>
  <si>
    <t>구미</t>
    <phoneticPr fontId="4" type="noConversion"/>
  </si>
  <si>
    <t>황소</t>
    <phoneticPr fontId="4" type="noConversion"/>
  </si>
  <si>
    <t>전국</t>
    <phoneticPr fontId="4" type="noConversion"/>
  </si>
  <si>
    <t>의왕</t>
    <phoneticPr fontId="4" type="noConversion"/>
  </si>
  <si>
    <t>구미</t>
    <phoneticPr fontId="4" type="noConversion"/>
  </si>
  <si>
    <t>황소</t>
    <phoneticPr fontId="4" type="noConversion"/>
  </si>
  <si>
    <t>평택</t>
    <phoneticPr fontId="4" type="noConversion"/>
  </si>
  <si>
    <t>진성</t>
    <phoneticPr fontId="4" type="noConversion"/>
  </si>
  <si>
    <t>평택</t>
    <phoneticPr fontId="4" type="noConversion"/>
  </si>
  <si>
    <t>군위</t>
    <phoneticPr fontId="4" type="noConversion"/>
  </si>
  <si>
    <t>대전</t>
    <phoneticPr fontId="4" type="noConversion"/>
  </si>
  <si>
    <t>서울</t>
    <phoneticPr fontId="4" type="noConversion"/>
  </si>
  <si>
    <t>서울</t>
    <phoneticPr fontId="4" type="noConversion"/>
  </si>
  <si>
    <t>[표1] 중장기 판매계획</t>
    <phoneticPr fontId="4" type="noConversion"/>
  </si>
  <si>
    <t>[단위:천원]</t>
    <phoneticPr fontId="4" type="noConversion"/>
  </si>
  <si>
    <t>구분</t>
    <phoneticPr fontId="4" type="noConversion"/>
  </si>
  <si>
    <t>3개년평균</t>
    <phoneticPr fontId="4" type="noConversion"/>
  </si>
  <si>
    <t>수입(매출액)</t>
    <phoneticPr fontId="4" type="noConversion"/>
  </si>
  <si>
    <t>지출</t>
    <phoneticPr fontId="4" type="noConversion"/>
  </si>
  <si>
    <t>원가(45%)</t>
    <phoneticPr fontId="4" type="noConversion"/>
  </si>
  <si>
    <t>관리비</t>
    <phoneticPr fontId="4" type="noConversion"/>
  </si>
  <si>
    <t>기타경비(10%)</t>
    <phoneticPr fontId="4" type="noConversion"/>
  </si>
  <si>
    <t>지출계</t>
    <phoneticPr fontId="4" type="noConversion"/>
  </si>
  <si>
    <t>순이익</t>
    <phoneticPr fontId="4" type="noConversion"/>
  </si>
  <si>
    <t>연평균성장률</t>
    <phoneticPr fontId="4" type="noConversion"/>
  </si>
  <si>
    <t>원가비율</t>
    <phoneticPr fontId="4" type="noConversion"/>
  </si>
  <si>
    <t>기타경비(변동비)</t>
    <phoneticPr fontId="4" type="noConversion"/>
  </si>
  <si>
    <t>2019년</t>
    <phoneticPr fontId="4" type="noConversion"/>
  </si>
  <si>
    <t>2020년</t>
    <phoneticPr fontId="4" type="noConversion"/>
  </si>
  <si>
    <t>2021년</t>
    <phoneticPr fontId="4" type="noConversion"/>
  </si>
  <si>
    <t>[표1] 급여지급내역</t>
    <phoneticPr fontId="4" type="noConversion"/>
  </si>
  <si>
    <t>사원번호</t>
    <phoneticPr fontId="4" type="noConversion"/>
  </si>
  <si>
    <t>시간외수당</t>
    <phoneticPr fontId="4" type="noConversion"/>
  </si>
  <si>
    <t>가족수당</t>
    <phoneticPr fontId="4" type="noConversion"/>
  </si>
  <si>
    <t>급여합계</t>
    <phoneticPr fontId="4" type="noConversion"/>
  </si>
  <si>
    <t>시간</t>
    <phoneticPr fontId="4" type="noConversion"/>
  </si>
  <si>
    <t>금액</t>
    <phoneticPr fontId="4" type="noConversion"/>
  </si>
  <si>
    <t>인원</t>
    <phoneticPr fontId="4" type="noConversion"/>
  </si>
  <si>
    <t>금액</t>
    <phoneticPr fontId="4" type="noConversion"/>
  </si>
  <si>
    <t>EMP-101</t>
    <phoneticPr fontId="4" type="noConversion"/>
  </si>
  <si>
    <t>이세민</t>
  </si>
  <si>
    <t>EMP-102</t>
    <phoneticPr fontId="4" type="noConversion"/>
  </si>
  <si>
    <t>이태건</t>
  </si>
  <si>
    <t>EMP-103</t>
  </si>
  <si>
    <t>오유진</t>
  </si>
  <si>
    <t>EMP-104</t>
  </si>
  <si>
    <t>김주원</t>
  </si>
  <si>
    <t>EMP-105</t>
  </si>
  <si>
    <t>김슬기</t>
  </si>
  <si>
    <t>EMP-106</t>
  </si>
  <si>
    <t>황지호</t>
  </si>
  <si>
    <t>EMP-107</t>
  </si>
  <si>
    <t>임효진</t>
  </si>
  <si>
    <t>EMP-108</t>
  </si>
  <si>
    <t>김종욱</t>
  </si>
  <si>
    <t>EMP-109</t>
  </si>
  <si>
    <t>최혁재</t>
  </si>
  <si>
    <t>합계</t>
    <phoneticPr fontId="4" type="noConversion"/>
  </si>
  <si>
    <t>[표1] 한국전자 일자별 주식거래현황</t>
    <phoneticPr fontId="4" type="noConversion"/>
  </si>
  <si>
    <t>날짜</t>
    <phoneticPr fontId="4" type="noConversion"/>
  </si>
  <si>
    <t>거래량</t>
    <phoneticPr fontId="4" type="noConversion"/>
  </si>
  <si>
    <t>종가</t>
    <phoneticPr fontId="4" type="noConversion"/>
  </si>
  <si>
    <t>전일비</t>
    <phoneticPr fontId="4" type="noConversion"/>
  </si>
  <si>
    <t>KOSPI 지수</t>
    <phoneticPr fontId="4" type="noConversion"/>
  </si>
  <si>
    <t>[표4] 외국인근로자 초과근무 지급액</t>
    <phoneticPr fontId="4" type="noConversion"/>
  </si>
  <si>
    <t>성명</t>
    <phoneticPr fontId="4" type="noConversion"/>
  </si>
  <si>
    <t>일급</t>
    <phoneticPr fontId="4" type="noConversion"/>
  </si>
  <si>
    <t>초과근무시간</t>
    <phoneticPr fontId="4" type="noConversion"/>
  </si>
  <si>
    <t>생산부</t>
    <phoneticPr fontId="4" type="noConversion"/>
  </si>
  <si>
    <t>양진송</t>
    <phoneticPr fontId="4" type="noConversion"/>
  </si>
  <si>
    <t>총무부</t>
    <phoneticPr fontId="4" type="noConversion"/>
  </si>
  <si>
    <t>이청</t>
    <phoneticPr fontId="4" type="noConversion"/>
  </si>
  <si>
    <t>탕세강</t>
    <phoneticPr fontId="4" type="noConversion"/>
  </si>
  <si>
    <t>영업부</t>
    <phoneticPr fontId="4" type="noConversion"/>
  </si>
  <si>
    <t>팽신명</t>
    <phoneticPr fontId="4" type="noConversion"/>
  </si>
  <si>
    <t>총무부</t>
    <phoneticPr fontId="4" type="noConversion"/>
  </si>
  <si>
    <t>부시</t>
    <phoneticPr fontId="2" type="noConversion"/>
  </si>
  <si>
    <t>생산부</t>
    <phoneticPr fontId="4" type="noConversion"/>
  </si>
  <si>
    <t>꼬쌀</t>
    <phoneticPr fontId="2" type="noConversion"/>
  </si>
  <si>
    <t>히엔</t>
    <phoneticPr fontId="2" type="noConversion"/>
  </si>
  <si>
    <t>엔더</t>
    <phoneticPr fontId="2" type="noConversion"/>
  </si>
  <si>
    <t>부서명</t>
    <phoneticPr fontId="4" type="noConversion"/>
  </si>
  <si>
    <t>초과근무시간</t>
    <phoneticPr fontId="4" type="noConversion"/>
  </si>
  <si>
    <t>영업부</t>
    <phoneticPr fontId="2" type="noConversion"/>
  </si>
  <si>
    <t>생산부</t>
    <phoneticPr fontId="2" type="noConversion"/>
  </si>
  <si>
    <t>총무부</t>
    <phoneticPr fontId="2" type="noConversion"/>
  </si>
  <si>
    <t>운송장번호</t>
    <phoneticPr fontId="2" type="noConversion"/>
  </si>
  <si>
    <t>KE83657</t>
    <phoneticPr fontId="2" type="noConversion"/>
  </si>
  <si>
    <t>SG47282</t>
    <phoneticPr fontId="2" type="noConversion"/>
  </si>
  <si>
    <t>KP21762</t>
    <phoneticPr fontId="2" type="noConversion"/>
  </si>
  <si>
    <t>CN43871</t>
    <phoneticPr fontId="2" type="noConversion"/>
  </si>
  <si>
    <t>PP54872</t>
    <phoneticPr fontId="2" type="noConversion"/>
  </si>
  <si>
    <t>SS32763</t>
    <phoneticPr fontId="2" type="noConversion"/>
  </si>
  <si>
    <t>KY54738</t>
    <phoneticPr fontId="2" type="noConversion"/>
  </si>
  <si>
    <t>수령인</t>
    <phoneticPr fontId="2" type="noConversion"/>
  </si>
  <si>
    <t>유병일</t>
    <phoneticPr fontId="2" type="noConversion"/>
  </si>
  <si>
    <t>이현정</t>
    <phoneticPr fontId="2" type="noConversion"/>
  </si>
  <si>
    <t>박시연</t>
    <phoneticPr fontId="2" type="noConversion"/>
  </si>
  <si>
    <t>차인혁</t>
    <phoneticPr fontId="2" type="noConversion"/>
  </si>
  <si>
    <t>전민수</t>
    <phoneticPr fontId="2" type="noConversion"/>
  </si>
  <si>
    <t>강민아</t>
    <phoneticPr fontId="2" type="noConversion"/>
  </si>
  <si>
    <t>유연선</t>
    <phoneticPr fontId="2" type="noConversion"/>
  </si>
  <si>
    <t>신청일</t>
    <phoneticPr fontId="2" type="noConversion"/>
  </si>
  <si>
    <t>Apr. 07, 2016</t>
    <phoneticPr fontId="2" type="noConversion"/>
  </si>
  <si>
    <t>Jun. 12, 2016</t>
    <phoneticPr fontId="2" type="noConversion"/>
  </si>
  <si>
    <t>Dec. 25, 2015</t>
    <phoneticPr fontId="2" type="noConversion"/>
  </si>
  <si>
    <t>Aug. 11, 2016</t>
    <phoneticPr fontId="2" type="noConversion"/>
  </si>
  <si>
    <t>Mar. 02, 2016</t>
    <phoneticPr fontId="2" type="noConversion"/>
  </si>
  <si>
    <t>Jul. 23, 2015</t>
    <phoneticPr fontId="2" type="noConversion"/>
  </si>
  <si>
    <t>Oct. 18, 2016</t>
    <phoneticPr fontId="2" type="noConversion"/>
  </si>
  <si>
    <t>종류</t>
    <phoneticPr fontId="2" type="noConversion"/>
  </si>
  <si>
    <t>초코렛픽스</t>
    <phoneticPr fontId="2" type="noConversion"/>
  </si>
  <si>
    <t>텐트릭스</t>
    <phoneticPr fontId="2" type="noConversion"/>
  </si>
  <si>
    <t>사목게임+워크북</t>
    <phoneticPr fontId="2" type="noConversion"/>
  </si>
  <si>
    <t>쥬니어러시아워</t>
    <phoneticPr fontId="2" type="noConversion"/>
  </si>
  <si>
    <t>각 워크북</t>
    <phoneticPr fontId="2" type="noConversion"/>
  </si>
  <si>
    <t>텐트릭스+워크북</t>
    <phoneticPr fontId="2" type="noConversion"/>
  </si>
  <si>
    <t>초코렛픽스+워크북</t>
    <phoneticPr fontId="2" type="noConversion"/>
  </si>
  <si>
    <t>운임</t>
    <phoneticPr fontId="2" type="noConversion"/>
  </si>
  <si>
    <t>연락처</t>
    <phoneticPr fontId="2" type="noConversion"/>
  </si>
  <si>
    <t>031-932-3861</t>
    <phoneticPr fontId="2" type="noConversion"/>
  </si>
  <si>
    <t>02-765-8721</t>
    <phoneticPr fontId="2" type="noConversion"/>
  </si>
  <si>
    <t>011-375-4952</t>
    <phoneticPr fontId="2" type="noConversion"/>
  </si>
  <si>
    <t>010-1730-9472</t>
    <phoneticPr fontId="2" type="noConversion"/>
  </si>
  <si>
    <t>010-3857-3742</t>
    <phoneticPr fontId="2" type="noConversion"/>
  </si>
  <si>
    <t>02-263-4855</t>
    <phoneticPr fontId="2" type="noConversion"/>
  </si>
  <si>
    <t>010-1933-4952</t>
    <phoneticPr fontId="2" type="noConversion"/>
  </si>
  <si>
    <t>2022-01-11 요약</t>
  </si>
  <si>
    <t>2022-01-13 요약</t>
  </si>
  <si>
    <t>2022-01-23 요약</t>
  </si>
  <si>
    <t>2022-01-30 요약</t>
  </si>
  <si>
    <t>2022-01-06 요약</t>
  </si>
  <si>
    <t>2022-01-08 요약</t>
  </si>
  <si>
    <t>2022-01-10 요약</t>
  </si>
  <si>
    <t>2022-01-16 요약</t>
  </si>
  <si>
    <t>2022-01-19 요약</t>
  </si>
  <si>
    <t>2022-01-22 요약</t>
  </si>
  <si>
    <t>2022-01-27 요약</t>
  </si>
  <si>
    <t>2022-01-28 요약</t>
  </si>
  <si>
    <t>2022-01-09 요약</t>
  </si>
  <si>
    <t>2022-01-26 요약</t>
  </si>
  <si>
    <t>총합계</t>
  </si>
  <si>
    <t>2022-01-11 평균</t>
  </si>
  <si>
    <t>2022-01-13 평균</t>
  </si>
  <si>
    <t>2022-01-23 평균</t>
  </si>
  <si>
    <t>2022-01-30 평균</t>
  </si>
  <si>
    <t>2022-01-06 평균</t>
  </si>
  <si>
    <t>2022-01-08 평균</t>
  </si>
  <si>
    <t>2022-01-10 평균</t>
  </si>
  <si>
    <t>2022-01-16 평균</t>
  </si>
  <si>
    <t>2022-01-19 평균</t>
  </si>
  <si>
    <t>2022-01-22 평균</t>
  </si>
  <si>
    <t>2022-01-27 평균</t>
  </si>
  <si>
    <t>2022-01-28 평균</t>
  </si>
  <si>
    <t>2022-01-09 평균</t>
  </si>
  <si>
    <t>2022-01-26 평균</t>
  </si>
  <si>
    <t>전체 평균</t>
  </si>
  <si>
    <t>연평균성장률</t>
  </si>
  <si>
    <t>원가비율</t>
  </si>
  <si>
    <t>기타경비</t>
  </si>
  <si>
    <t>순이익평균</t>
  </si>
  <si>
    <t>이익증가</t>
  </si>
  <si>
    <t>만든 사람 sejong2021 날짜 2022-09-27</t>
  </si>
  <si>
    <t>이익감소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</si>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</sst>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_ "/>
    <numFmt numFmtId="177" formatCode="h:mm;@"/>
    <numFmt numFmtId="178" formatCode="0.0%"/>
    <numFmt numFmtId="179" formatCode="#,##0.00_ "/>
    <numFmt numFmtId="180" formatCode="#.0"/>
  </numFmts>
  <fonts count="1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u/>
      <sz val="14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b/>
      <i/>
      <u/>
      <sz val="16"/>
      <name val="돋움체"/>
      <family val="3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78">
    <xf numFmtId="0" fontId="0" fillId="0" borderId="0" xfId="0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3" fillId="0" borderId="0" xfId="0" applyFont="1" applyAlignment="1">
      <alignment horizontal="right" vertical="center"/>
    </xf>
    <xf numFmtId="176" fontId="3" fillId="0" borderId="5" xfId="0" applyNumberFormat="1" applyFont="1" applyBorder="1" applyAlignment="1">
      <alignment horizontal="center" vertical="center"/>
    </xf>
    <xf numFmtId="176" fontId="3" fillId="0" borderId="5" xfId="1" applyNumberFormat="1" applyFont="1" applyBorder="1" applyAlignment="1">
      <alignment vertical="center"/>
    </xf>
    <xf numFmtId="176" fontId="3" fillId="0" borderId="5" xfId="1" applyNumberFormat="1" applyFont="1" applyBorder="1">
      <alignment vertical="center"/>
    </xf>
    <xf numFmtId="0" fontId="3" fillId="2" borderId="5" xfId="0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3" fillId="0" borderId="5" xfId="0" applyFont="1" applyBorder="1" applyAlignment="1">
      <alignment horizontal="center" vertical="center"/>
    </xf>
    <xf numFmtId="41" fontId="3" fillId="0" borderId="5" xfId="1" applyFont="1" applyBorder="1">
      <alignment vertical="center"/>
    </xf>
    <xf numFmtId="0" fontId="3" fillId="0" borderId="0" xfId="0" applyFont="1" applyAlignment="1">
      <alignment horizontal="center" vertical="center"/>
    </xf>
    <xf numFmtId="0" fontId="3" fillId="0" borderId="5" xfId="0" applyFont="1" applyBorder="1">
      <alignment vertical="center"/>
    </xf>
    <xf numFmtId="41" fontId="3" fillId="0" borderId="5" xfId="1" applyFont="1" applyBorder="1" applyAlignment="1">
      <alignment horizontal="center" vertical="center"/>
    </xf>
    <xf numFmtId="9" fontId="3" fillId="0" borderId="5" xfId="0" applyNumberFormat="1" applyFont="1" applyBorder="1" applyAlignment="1">
      <alignment horizontal="center" vertical="center"/>
    </xf>
    <xf numFmtId="41" fontId="3" fillId="0" borderId="0" xfId="0" applyNumberFormat="1" applyFont="1">
      <alignment vertical="center"/>
    </xf>
    <xf numFmtId="41" fontId="3" fillId="0" borderId="1" xfId="1" applyFont="1" applyFill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41" fontId="3" fillId="0" borderId="4" xfId="1" applyFont="1" applyFill="1" applyBorder="1" applyAlignment="1">
      <alignment horizontal="center" vertical="center"/>
    </xf>
    <xf numFmtId="20" fontId="3" fillId="0" borderId="5" xfId="0" applyNumberFormat="1" applyFont="1" applyBorder="1" applyAlignment="1">
      <alignment horizontal="center" vertical="center"/>
    </xf>
    <xf numFmtId="177" fontId="3" fillId="0" borderId="5" xfId="0" applyNumberFormat="1" applyFont="1" applyBorder="1" applyAlignment="1">
      <alignment horizontal="center" vertical="center"/>
    </xf>
    <xf numFmtId="41" fontId="3" fillId="0" borderId="0" xfId="1" applyFont="1" applyBorder="1">
      <alignment vertical="center"/>
    </xf>
    <xf numFmtId="14" fontId="3" fillId="0" borderId="5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6" xfId="1" applyNumberFormat="1" applyFont="1" applyFill="1" applyBorder="1" applyAlignment="1">
      <alignment horizontal="center" vertical="center"/>
    </xf>
    <xf numFmtId="14" fontId="3" fillId="0" borderId="0" xfId="0" applyNumberFormat="1" applyFont="1">
      <alignment vertical="center"/>
    </xf>
    <xf numFmtId="41" fontId="3" fillId="0" borderId="0" xfId="1" applyFont="1" applyFill="1" applyBorder="1" applyAlignment="1">
      <alignment vertical="center"/>
    </xf>
    <xf numFmtId="178" fontId="3" fillId="0" borderId="5" xfId="0" applyNumberFormat="1" applyFont="1" applyBorder="1" applyAlignment="1">
      <alignment horizontal="center" vertical="center"/>
    </xf>
    <xf numFmtId="0" fontId="8" fillId="0" borderId="0" xfId="0" applyFont="1">
      <alignment vertical="center"/>
    </xf>
    <xf numFmtId="176" fontId="3" fillId="0" borderId="0" xfId="1" applyNumberFormat="1" applyFont="1">
      <alignment vertical="center"/>
    </xf>
    <xf numFmtId="176" fontId="3" fillId="0" borderId="0" xfId="1" applyNumberFormat="1" applyFont="1" applyAlignment="1">
      <alignment horizontal="center" vertical="center"/>
    </xf>
    <xf numFmtId="0" fontId="3" fillId="0" borderId="6" xfId="0" applyFont="1" applyBorder="1">
      <alignment vertical="center"/>
    </xf>
    <xf numFmtId="176" fontId="3" fillId="0" borderId="6" xfId="1" applyNumberFormat="1" applyFont="1" applyBorder="1">
      <alignment vertical="center"/>
    </xf>
    <xf numFmtId="176" fontId="3" fillId="0" borderId="6" xfId="1" applyNumberFormat="1" applyFont="1" applyBorder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76" fontId="3" fillId="0" borderId="0" xfId="0" applyNumberFormat="1" applyFont="1">
      <alignment vertical="center"/>
    </xf>
    <xf numFmtId="179" fontId="3" fillId="0" borderId="0" xfId="0" applyNumberFormat="1" applyFont="1">
      <alignment vertical="center"/>
    </xf>
    <xf numFmtId="14" fontId="3" fillId="0" borderId="8" xfId="0" applyNumberFormat="1" applyFont="1" applyBorder="1" applyAlignment="1">
      <alignment horizontal="center" vertical="center"/>
    </xf>
    <xf numFmtId="176" fontId="3" fillId="0" borderId="8" xfId="0" applyNumberFormat="1" applyFont="1" applyBorder="1">
      <alignment vertical="center"/>
    </xf>
    <xf numFmtId="179" fontId="3" fillId="0" borderId="8" xfId="0" applyNumberFormat="1" applyFont="1" applyBorder="1">
      <alignment vertical="center"/>
    </xf>
    <xf numFmtId="41" fontId="3" fillId="0" borderId="5" xfId="1" applyFont="1" applyBorder="1" applyAlignment="1">
      <alignment horizontal="right" vertical="center"/>
    </xf>
    <xf numFmtId="180" fontId="3" fillId="0" borderId="5" xfId="0" applyNumberFormat="1" applyFont="1" applyBorder="1" applyAlignment="1">
      <alignment horizontal="center" vertical="center"/>
    </xf>
    <xf numFmtId="14" fontId="6" fillId="0" borderId="0" xfId="0" applyNumberFormat="1" applyFont="1">
      <alignment vertical="center"/>
    </xf>
    <xf numFmtId="178" fontId="0" fillId="0" borderId="0" xfId="0" applyNumberFormat="1">
      <alignment vertical="center"/>
    </xf>
    <xf numFmtId="9" fontId="0" fillId="0" borderId="0" xfId="0" applyNumberFormat="1">
      <alignment vertical="center"/>
    </xf>
    <xf numFmtId="41" fontId="0" fillId="0" borderId="10" xfId="0" applyNumberFormat="1" applyBorder="1">
      <alignment vertical="center"/>
    </xf>
    <xf numFmtId="0" fontId="11" fillId="3" borderId="8" xfId="0" applyFont="1" applyFill="1" applyBorder="1" applyAlignment="1">
      <alignment horizontal="left" vertical="center"/>
    </xf>
    <xf numFmtId="0" fontId="10" fillId="3" borderId="9" xfId="0" applyFont="1" applyFill="1" applyBorder="1" applyAlignment="1">
      <alignment horizontal="left" vertical="center"/>
    </xf>
    <xf numFmtId="0" fontId="11" fillId="3" borderId="9" xfId="0" applyFont="1" applyFill="1" applyBorder="1" applyAlignment="1">
      <alignment horizontal="left" vertical="center"/>
    </xf>
    <xf numFmtId="0" fontId="0" fillId="0" borderId="6" xfId="0" applyBorder="1">
      <alignment vertical="center"/>
    </xf>
    <xf numFmtId="0" fontId="12" fillId="4" borderId="0" xfId="0" applyFont="1" applyFill="1" applyAlignment="1">
      <alignment horizontal="left" vertical="center"/>
    </xf>
    <xf numFmtId="0" fontId="13" fillId="4" borderId="6" xfId="0" applyFont="1" applyFill="1" applyBorder="1" applyAlignment="1">
      <alignment horizontal="left" vertical="center"/>
    </xf>
    <xf numFmtId="0" fontId="14" fillId="4" borderId="6" xfId="0" applyFont="1" applyFill="1" applyBorder="1" applyAlignment="1">
      <alignment horizontal="left" vertical="center"/>
    </xf>
    <xf numFmtId="0" fontId="12" fillId="4" borderId="10" xfId="0" applyFont="1" applyFill="1" applyBorder="1" applyAlignment="1">
      <alignment horizontal="left" vertical="center"/>
    </xf>
    <xf numFmtId="0" fontId="10" fillId="3" borderId="9" xfId="0" applyFont="1" applyFill="1" applyBorder="1" applyAlignment="1">
      <alignment horizontal="right" vertical="center"/>
    </xf>
    <xf numFmtId="0" fontId="10" fillId="3" borderId="8" xfId="0" applyFont="1" applyFill="1" applyBorder="1" applyAlignment="1">
      <alignment horizontal="right" vertical="center"/>
    </xf>
    <xf numFmtId="178" fontId="0" fillId="5" borderId="0" xfId="0" applyNumberFormat="1" applyFill="1">
      <alignment vertical="center"/>
    </xf>
    <xf numFmtId="9" fontId="0" fillId="5" borderId="0" xfId="0" applyNumberFormat="1" applyFill="1">
      <alignment vertical="center"/>
    </xf>
    <xf numFmtId="0" fontId="15" fillId="0" borderId="0" xfId="0" applyFont="1" applyAlignment="1">
      <alignment vertical="top" wrapText="1"/>
    </xf>
    <xf numFmtId="0" fontId="9" fillId="0" borderId="0" xfId="0" applyFont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9" fontId="3" fillId="2" borderId="1" xfId="0" applyNumberFormat="1" applyFont="1" applyFill="1" applyBorder="1" applyAlignment="1">
      <alignment horizontal="center" vertical="center"/>
    </xf>
    <xf numFmtId="9" fontId="3" fillId="2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6" fillId="6" borderId="7" xfId="0" applyFont="1" applyFill="1" applyBorder="1" applyAlignment="1">
      <alignment horizontal="center" vertical="center"/>
    </xf>
    <xf numFmtId="0" fontId="16" fillId="6" borderId="8" xfId="0" applyFont="1" applyFill="1" applyBorder="1" applyAlignment="1">
      <alignment horizontal="center" vertical="center"/>
    </xf>
    <xf numFmtId="176" fontId="16" fillId="6" borderId="0" xfId="1" applyNumberFormat="1" applyFont="1" applyFill="1">
      <alignment vertical="center"/>
    </xf>
    <xf numFmtId="176" fontId="16" fillId="6" borderId="6" xfId="1" applyNumberFormat="1" applyFont="1" applyFill="1" applyBorder="1">
      <alignment vertical="center"/>
    </xf>
  </cellXfs>
  <cellStyles count="2">
    <cellStyle name="쉼표 [0]" xfId="1" builtinId="6"/>
    <cellStyle name="표준" xfId="0" builtinId="0"/>
  </cellStyles>
  <dxfs count="2">
    <dxf>
      <font>
        <condense val="0"/>
        <extend val="0"/>
        <color indexed="10"/>
      </font>
    </dxf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1" u="sng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b="1" i="1" u="sng">
                <a:latin typeface="궁서체" panose="02030609000101010101" pitchFamily="17" charset="-127"/>
                <a:ea typeface="궁서체" panose="02030609000101010101" pitchFamily="17" charset="-127"/>
              </a:rPr>
              <a:t>주식거래현황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1" u="sng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차트작업!$C$4</c:f>
              <c:strCache>
                <c:ptCount val="1"/>
                <c:pt idx="0">
                  <c:v>거래량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6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3C4-4649-822E-FE906F689072}"/>
                </c:ext>
              </c:extLst>
            </c:dLbl>
            <c:numFmt formatCode="#,##0_);[Red]\(#,##0\)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차트작업!$B$5:$B$15</c:f>
              <c:numCache>
                <c:formatCode>m/d/yyyy</c:formatCode>
                <c:ptCount val="11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</c:numCache>
            </c:numRef>
          </c:cat>
          <c:val>
            <c:numRef>
              <c:f>차트작업!$C$5:$C$15</c:f>
              <c:numCache>
                <c:formatCode>#,##0_ </c:formatCode>
                <c:ptCount val="11"/>
                <c:pt idx="0">
                  <c:v>132132</c:v>
                </c:pt>
                <c:pt idx="1">
                  <c:v>182736</c:v>
                </c:pt>
                <c:pt idx="2">
                  <c:v>92734</c:v>
                </c:pt>
                <c:pt idx="3">
                  <c:v>46823</c:v>
                </c:pt>
                <c:pt idx="4">
                  <c:v>148323</c:v>
                </c:pt>
                <c:pt idx="5">
                  <c:v>37464</c:v>
                </c:pt>
                <c:pt idx="6">
                  <c:v>200374</c:v>
                </c:pt>
                <c:pt idx="7">
                  <c:v>149723</c:v>
                </c:pt>
                <c:pt idx="8">
                  <c:v>172583</c:v>
                </c:pt>
                <c:pt idx="9">
                  <c:v>193746</c:v>
                </c:pt>
                <c:pt idx="10">
                  <c:v>202732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32-4C4B-88DC-4DF4DD77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440389647"/>
        <c:axId val="1440391311"/>
      </c:barChart>
      <c:lineChart>
        <c:grouping val="standard"/>
        <c:varyColors val="0"/>
        <c:ser>
          <c:idx val="2"/>
          <c:order val="1"/>
          <c:tx>
            <c:strRef>
              <c:f>차트작업!$F$4</c:f>
              <c:strCache>
                <c:ptCount val="1"/>
                <c:pt idx="0">
                  <c:v>KOSPI 지수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차트작업!$B$5:$B$15</c:f>
              <c:numCache>
                <c:formatCode>m/d/yyyy</c:formatCode>
                <c:ptCount val="11"/>
                <c:pt idx="0">
                  <c:v>44200</c:v>
                </c:pt>
                <c:pt idx="1">
                  <c:v>44201</c:v>
                </c:pt>
                <c:pt idx="2">
                  <c:v>44202</c:v>
                </c:pt>
                <c:pt idx="3">
                  <c:v>44203</c:v>
                </c:pt>
                <c:pt idx="4">
                  <c:v>44204</c:v>
                </c:pt>
                <c:pt idx="5">
                  <c:v>44207</c:v>
                </c:pt>
                <c:pt idx="6">
                  <c:v>44208</c:v>
                </c:pt>
                <c:pt idx="7">
                  <c:v>44209</c:v>
                </c:pt>
                <c:pt idx="8">
                  <c:v>44210</c:v>
                </c:pt>
                <c:pt idx="9">
                  <c:v>44211</c:v>
                </c:pt>
                <c:pt idx="10">
                  <c:v>44214</c:v>
                </c:pt>
              </c:numCache>
            </c:numRef>
          </c:cat>
          <c:val>
            <c:numRef>
              <c:f>차트작업!$F$5:$F$15</c:f>
              <c:numCache>
                <c:formatCode>#,##0.00_ </c:formatCode>
                <c:ptCount val="11"/>
                <c:pt idx="0">
                  <c:v>1530.2</c:v>
                </c:pt>
                <c:pt idx="1">
                  <c:v>1570.12</c:v>
                </c:pt>
                <c:pt idx="2">
                  <c:v>1572.78</c:v>
                </c:pt>
                <c:pt idx="3">
                  <c:v>1543.53</c:v>
                </c:pt>
                <c:pt idx="4">
                  <c:v>1529.62</c:v>
                </c:pt>
                <c:pt idx="5">
                  <c:v>1528.1</c:v>
                </c:pt>
                <c:pt idx="6">
                  <c:v>1538.41</c:v>
                </c:pt>
                <c:pt idx="7">
                  <c:v>1549.87</c:v>
                </c:pt>
                <c:pt idx="8">
                  <c:v>1560.02</c:v>
                </c:pt>
                <c:pt idx="9">
                  <c:v>1568.93</c:v>
                </c:pt>
                <c:pt idx="10">
                  <c:v>1573.65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B32-4C4B-88DC-4DF4DD772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1479184"/>
        <c:axId val="671471968"/>
      </c:lineChart>
      <c:dateAx>
        <c:axId val="1440389647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91311"/>
        <c:crosses val="autoZero"/>
        <c:auto val="1"/>
        <c:lblOffset val="100"/>
        <c:baseTimeUnit val="days"/>
      </c:dateAx>
      <c:valAx>
        <c:axId val="1440391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40389647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</c:dispUnitsLbl>
        </c:dispUnits>
      </c:valAx>
      <c:valAx>
        <c:axId val="671471968"/>
        <c:scaling>
          <c:orientation val="minMax"/>
        </c:scaling>
        <c:delete val="0"/>
        <c:axPos val="r"/>
        <c:numFmt formatCode="#,##0.0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71479184"/>
        <c:crosses val="max"/>
        <c:crossBetween val="between"/>
      </c:valAx>
      <c:dateAx>
        <c:axId val="67147918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671471968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overlay val="0"/>
      <c:spPr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18</xdr:row>
      <xdr:rowOff>0</xdr:rowOff>
    </xdr:from>
    <xdr:to>
      <xdr:col>7</xdr:col>
      <xdr:colOff>0</xdr:colOff>
      <xdr:row>23</xdr:row>
      <xdr:rowOff>0</xdr:rowOff>
    </xdr:to>
    <xdr:sp macro="[0]!가족수당" textlink="">
      <xdr:nvSpPr>
        <xdr:cNvPr id="2" name="타원 1">
          <a:extLst>
            <a:ext uri="{FF2B5EF4-FFF2-40B4-BE49-F238E27FC236}">
              <a16:creationId xmlns:a16="http://schemas.microsoft.com/office/drawing/2014/main" id="{7E2D31DA-3207-4906-8555-A2AF0A6BB727}"/>
            </a:ext>
          </a:extLst>
        </xdr:cNvPr>
        <xdr:cNvSpPr/>
      </xdr:nvSpPr>
      <xdr:spPr>
        <a:xfrm>
          <a:off x="3562350" y="3819525"/>
          <a:ext cx="1419225" cy="104775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가족수당</a:t>
          </a:r>
        </a:p>
      </xdr:txBody>
    </xdr:sp>
    <xdr:clientData/>
  </xdr:twoCellAnchor>
  <xdr:twoCellAnchor>
    <xdr:from>
      <xdr:col>7</xdr:col>
      <xdr:colOff>0</xdr:colOff>
      <xdr:row>18</xdr:row>
      <xdr:rowOff>0</xdr:rowOff>
    </xdr:from>
    <xdr:to>
      <xdr:col>9</xdr:col>
      <xdr:colOff>0</xdr:colOff>
      <xdr:row>23</xdr:row>
      <xdr:rowOff>0</xdr:rowOff>
    </xdr:to>
    <xdr:sp macro="[0]!서식지정" textlink="">
      <xdr:nvSpPr>
        <xdr:cNvPr id="3" name="직사각형 2">
          <a:extLst>
            <a:ext uri="{FF2B5EF4-FFF2-40B4-BE49-F238E27FC236}">
              <a16:creationId xmlns:a16="http://schemas.microsoft.com/office/drawing/2014/main" id="{31FF469D-A53E-4F2C-8F8D-280F8A60FDDB}"/>
            </a:ext>
          </a:extLst>
        </xdr:cNvPr>
        <xdr:cNvSpPr/>
      </xdr:nvSpPr>
      <xdr:spPr>
        <a:xfrm>
          <a:off x="4981575" y="3819525"/>
          <a:ext cx="1504950" cy="10477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서식지정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6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0"/>
  <sheetViews>
    <sheetView workbookViewId="0">
      <selection activeCell="B1" sqref="B1:B1048576"/>
    </sheetView>
  </sheetViews>
  <sheetFormatPr defaultRowHeight="16.5"/>
  <cols>
    <col min="1" max="1" width="19.75" bestFit="1" customWidth="1"/>
    <col min="2" max="2" width="7.125" bestFit="1" customWidth="1"/>
    <col min="3" max="3" width="13.375" bestFit="1" customWidth="1"/>
    <col min="4" max="4" width="18.75" bestFit="1" customWidth="1"/>
    <col min="5" max="5" width="6.5" bestFit="1" customWidth="1"/>
    <col min="6" max="6" width="14.375" bestFit="1" customWidth="1"/>
  </cols>
  <sheetData>
    <row r="1" spans="1:6">
      <c r="A1" s="1" t="s">
        <v>0</v>
      </c>
    </row>
    <row r="3" spans="1:6">
      <c r="A3" t="s">
        <v>233</v>
      </c>
      <c r="B3" t="s">
        <v>241</v>
      </c>
      <c r="C3" t="s">
        <v>249</v>
      </c>
      <c r="D3" t="s">
        <v>257</v>
      </c>
      <c r="E3" t="s">
        <v>265</v>
      </c>
      <c r="F3" t="s">
        <v>266</v>
      </c>
    </row>
    <row r="4" spans="1:6">
      <c r="A4" t="s">
        <v>234</v>
      </c>
      <c r="B4" t="s">
        <v>242</v>
      </c>
      <c r="C4" t="s">
        <v>250</v>
      </c>
      <c r="D4" t="s">
        <v>258</v>
      </c>
      <c r="E4">
        <v>17000</v>
      </c>
      <c r="F4" t="s">
        <v>267</v>
      </c>
    </row>
    <row r="5" spans="1:6">
      <c r="A5" t="s">
        <v>235</v>
      </c>
      <c r="B5" t="s">
        <v>243</v>
      </c>
      <c r="C5" t="s">
        <v>251</v>
      </c>
      <c r="D5" t="s">
        <v>259</v>
      </c>
      <c r="E5">
        <v>8900</v>
      </c>
      <c r="F5" t="s">
        <v>268</v>
      </c>
    </row>
    <row r="6" spans="1:6">
      <c r="A6" t="s">
        <v>236</v>
      </c>
      <c r="B6" t="s">
        <v>244</v>
      </c>
      <c r="C6" t="s">
        <v>252</v>
      </c>
      <c r="D6" t="s">
        <v>260</v>
      </c>
      <c r="E6">
        <v>12000</v>
      </c>
      <c r="F6" t="s">
        <v>269</v>
      </c>
    </row>
    <row r="7" spans="1:6">
      <c r="A7" t="s">
        <v>237</v>
      </c>
      <c r="B7" t="s">
        <v>245</v>
      </c>
      <c r="C7" t="s">
        <v>253</v>
      </c>
      <c r="D7" t="s">
        <v>261</v>
      </c>
      <c r="E7">
        <v>17000</v>
      </c>
      <c r="F7" t="s">
        <v>270</v>
      </c>
    </row>
    <row r="8" spans="1:6">
      <c r="A8" t="s">
        <v>238</v>
      </c>
      <c r="B8" t="s">
        <v>246</v>
      </c>
      <c r="C8" t="s">
        <v>254</v>
      </c>
      <c r="D8" t="s">
        <v>262</v>
      </c>
      <c r="E8">
        <v>25000</v>
      </c>
      <c r="F8" t="s">
        <v>271</v>
      </c>
    </row>
    <row r="9" spans="1:6">
      <c r="A9" t="s">
        <v>239</v>
      </c>
      <c r="B9" t="s">
        <v>247</v>
      </c>
      <c r="C9" t="s">
        <v>255</v>
      </c>
      <c r="D9" t="s">
        <v>263</v>
      </c>
      <c r="E9">
        <v>11000</v>
      </c>
      <c r="F9" t="s">
        <v>272</v>
      </c>
    </row>
    <row r="10" spans="1:6">
      <c r="A10" t="s">
        <v>240</v>
      </c>
      <c r="B10" t="s">
        <v>248</v>
      </c>
      <c r="C10" t="s">
        <v>256</v>
      </c>
      <c r="D10" t="s">
        <v>264</v>
      </c>
      <c r="E10">
        <v>13500</v>
      </c>
      <c r="F10" t="s">
        <v>273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6"/>
  <sheetViews>
    <sheetView workbookViewId="0">
      <selection activeCell="A3" sqref="A3:A4"/>
    </sheetView>
  </sheetViews>
  <sheetFormatPr defaultRowHeight="16.5"/>
  <cols>
    <col min="8" max="8" width="12.375" bestFit="1" customWidth="1"/>
  </cols>
  <sheetData>
    <row r="1" spans="1:8" ht="20.25">
      <c r="A1" s="59" t="s">
        <v>1</v>
      </c>
      <c r="B1" s="59"/>
      <c r="C1" s="59"/>
      <c r="D1" s="59"/>
      <c r="E1" s="59"/>
      <c r="F1" s="59"/>
      <c r="G1" s="59"/>
      <c r="H1" s="59"/>
    </row>
    <row r="2" spans="1:8">
      <c r="A2" s="1"/>
      <c r="B2" s="1"/>
      <c r="C2" s="1"/>
      <c r="D2" s="1"/>
      <c r="E2" s="1"/>
      <c r="F2" s="1"/>
      <c r="G2" s="1"/>
      <c r="H2" s="1"/>
    </row>
    <row r="3" spans="1:8">
      <c r="A3" s="62" t="s">
        <v>2</v>
      </c>
      <c r="B3" s="62" t="s">
        <v>3</v>
      </c>
      <c r="C3" s="62" t="s">
        <v>4</v>
      </c>
      <c r="D3" s="60" t="s">
        <v>5</v>
      </c>
      <c r="E3" s="61"/>
      <c r="F3" s="60" t="s">
        <v>6</v>
      </c>
      <c r="G3" s="61"/>
      <c r="H3" s="62" t="s">
        <v>7</v>
      </c>
    </row>
    <row r="4" spans="1:8">
      <c r="A4" s="63"/>
      <c r="B4" s="63"/>
      <c r="C4" s="63"/>
      <c r="D4" s="9" t="s">
        <v>8</v>
      </c>
      <c r="E4" s="9" t="s">
        <v>9</v>
      </c>
      <c r="F4" s="9" t="s">
        <v>10</v>
      </c>
      <c r="G4" s="9" t="s">
        <v>9</v>
      </c>
      <c r="H4" s="63"/>
    </row>
    <row r="5" spans="1:8">
      <c r="A5" s="9" t="s">
        <v>11</v>
      </c>
      <c r="B5" s="9">
        <v>9</v>
      </c>
      <c r="C5" s="9" t="s">
        <v>12</v>
      </c>
      <c r="D5" s="9">
        <v>121</v>
      </c>
      <c r="E5" s="9">
        <v>128</v>
      </c>
      <c r="F5" s="41">
        <v>26.7</v>
      </c>
      <c r="G5" s="41">
        <v>30.2</v>
      </c>
      <c r="H5" s="9"/>
    </row>
    <row r="6" spans="1:8">
      <c r="A6" s="9" t="s">
        <v>13</v>
      </c>
      <c r="B6" s="9">
        <v>8</v>
      </c>
      <c r="C6" s="9" t="s">
        <v>14</v>
      </c>
      <c r="D6" s="9">
        <v>116</v>
      </c>
      <c r="E6" s="9">
        <v>120</v>
      </c>
      <c r="F6" s="41">
        <v>23</v>
      </c>
      <c r="G6" s="41">
        <v>25</v>
      </c>
      <c r="H6" s="9"/>
    </row>
    <row r="7" spans="1:8">
      <c r="A7" s="9" t="s">
        <v>15</v>
      </c>
      <c r="B7" s="9">
        <v>12</v>
      </c>
      <c r="C7" s="9" t="s">
        <v>14</v>
      </c>
      <c r="D7" s="9">
        <v>133</v>
      </c>
      <c r="E7" s="9">
        <v>136</v>
      </c>
      <c r="F7" s="41">
        <v>38.4</v>
      </c>
      <c r="G7" s="41">
        <v>42.8</v>
      </c>
      <c r="H7" s="9" t="s">
        <v>16</v>
      </c>
    </row>
    <row r="8" spans="1:8">
      <c r="A8" s="9" t="s">
        <v>17</v>
      </c>
      <c r="B8" s="9">
        <v>10</v>
      </c>
      <c r="C8" s="9" t="s">
        <v>14</v>
      </c>
      <c r="D8" s="9">
        <v>126</v>
      </c>
      <c r="E8" s="9">
        <v>131</v>
      </c>
      <c r="F8" s="41">
        <v>27</v>
      </c>
      <c r="G8" s="41">
        <v>29.6</v>
      </c>
      <c r="H8" s="9"/>
    </row>
    <row r="9" spans="1:8">
      <c r="A9" s="9" t="s">
        <v>18</v>
      </c>
      <c r="B9" s="9">
        <v>8</v>
      </c>
      <c r="C9" s="9" t="s">
        <v>14</v>
      </c>
      <c r="D9" s="9">
        <v>115</v>
      </c>
      <c r="E9" s="9">
        <v>121</v>
      </c>
      <c r="F9" s="41">
        <v>24.3</v>
      </c>
      <c r="G9" s="41">
        <v>26</v>
      </c>
      <c r="H9" s="9"/>
    </row>
    <row r="10" spans="1:8">
      <c r="A10" s="9" t="s">
        <v>19</v>
      </c>
      <c r="B10" s="9">
        <v>9</v>
      </c>
      <c r="C10" s="9" t="s">
        <v>14</v>
      </c>
      <c r="D10" s="9">
        <v>123</v>
      </c>
      <c r="E10" s="9">
        <v>129</v>
      </c>
      <c r="F10" s="41">
        <v>31</v>
      </c>
      <c r="G10" s="41">
        <v>33.4</v>
      </c>
      <c r="H10" s="9"/>
    </row>
    <row r="11" spans="1:8">
      <c r="A11" s="9" t="s">
        <v>20</v>
      </c>
      <c r="B11" s="9">
        <v>12</v>
      </c>
      <c r="C11" s="9" t="s">
        <v>21</v>
      </c>
      <c r="D11" s="9">
        <v>132</v>
      </c>
      <c r="E11" s="9">
        <v>134</v>
      </c>
      <c r="F11" s="41">
        <v>26.4</v>
      </c>
      <c r="G11" s="41">
        <v>29</v>
      </c>
      <c r="H11" s="9"/>
    </row>
    <row r="12" spans="1:8">
      <c r="A12" s="9" t="s">
        <v>22</v>
      </c>
      <c r="B12" s="9">
        <v>13</v>
      </c>
      <c r="C12" s="9" t="s">
        <v>21</v>
      </c>
      <c r="D12" s="9">
        <v>138</v>
      </c>
      <c r="E12" s="9">
        <v>142</v>
      </c>
      <c r="F12" s="41">
        <v>32.1</v>
      </c>
      <c r="G12" s="41">
        <v>35.1</v>
      </c>
      <c r="H12" s="9"/>
    </row>
    <row r="13" spans="1:8">
      <c r="A13" s="9" t="s">
        <v>23</v>
      </c>
      <c r="B13" s="9">
        <v>10</v>
      </c>
      <c r="C13" s="9" t="s">
        <v>14</v>
      </c>
      <c r="D13" s="9">
        <v>124</v>
      </c>
      <c r="E13" s="9">
        <v>131</v>
      </c>
      <c r="F13" s="41">
        <v>32</v>
      </c>
      <c r="G13" s="41">
        <v>34</v>
      </c>
      <c r="H13" s="9"/>
    </row>
    <row r="14" spans="1:8">
      <c r="A14" s="9" t="s">
        <v>24</v>
      </c>
      <c r="B14" s="9">
        <v>9</v>
      </c>
      <c r="C14" s="9" t="s">
        <v>14</v>
      </c>
      <c r="D14" s="9">
        <v>120</v>
      </c>
      <c r="E14" s="9">
        <v>127</v>
      </c>
      <c r="F14" s="41">
        <v>29</v>
      </c>
      <c r="G14" s="41">
        <v>31.8</v>
      </c>
      <c r="H14" s="9"/>
    </row>
    <row r="15" spans="1:8">
      <c r="A15" s="1"/>
      <c r="B15" s="1"/>
      <c r="C15" s="1"/>
      <c r="D15" s="1"/>
      <c r="E15" s="1"/>
      <c r="F15" s="1"/>
      <c r="G15" s="1"/>
      <c r="H15" s="1"/>
    </row>
    <row r="16" spans="1:8">
      <c r="A16" s="1"/>
      <c r="B16" s="1"/>
      <c r="C16" s="1"/>
      <c r="D16" s="1"/>
      <c r="E16" s="1"/>
      <c r="F16" s="1"/>
      <c r="G16" s="1"/>
      <c r="H16" s="1"/>
    </row>
  </sheetData>
  <mergeCells count="7">
    <mergeCell ref="A1:H1"/>
    <mergeCell ref="F3:G3"/>
    <mergeCell ref="H3:H4"/>
    <mergeCell ref="D3:E3"/>
    <mergeCell ref="C3:C4"/>
    <mergeCell ref="B3:B4"/>
    <mergeCell ref="A3:A4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14"/>
  <sheetViews>
    <sheetView workbookViewId="0">
      <selection activeCell="A5" sqref="A5:I13"/>
    </sheetView>
  </sheetViews>
  <sheetFormatPr defaultRowHeight="16.5"/>
  <cols>
    <col min="8" max="9" width="12" customWidth="1"/>
  </cols>
  <sheetData>
    <row r="1" spans="1:10" ht="26.25">
      <c r="A1" s="2" t="s">
        <v>25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1"/>
      <c r="B2" s="1"/>
      <c r="C2" s="1"/>
      <c r="D2" s="1"/>
      <c r="E2" s="1"/>
      <c r="F2" s="1"/>
      <c r="G2" s="1"/>
      <c r="H2" s="1"/>
      <c r="I2" s="3" t="s">
        <v>26</v>
      </c>
      <c r="J2" s="1"/>
    </row>
    <row r="3" spans="1:10">
      <c r="A3" s="64" t="s">
        <v>27</v>
      </c>
      <c r="B3" s="66" t="s">
        <v>28</v>
      </c>
      <c r="C3" s="67"/>
      <c r="D3" s="66" t="s">
        <v>29</v>
      </c>
      <c r="E3" s="67"/>
      <c r="F3" s="66" t="s">
        <v>30</v>
      </c>
      <c r="G3" s="67"/>
      <c r="H3" s="66" t="s">
        <v>31</v>
      </c>
      <c r="I3" s="67"/>
      <c r="J3" s="1"/>
    </row>
    <row r="4" spans="1:10">
      <c r="A4" s="65"/>
      <c r="B4" s="7" t="s">
        <v>32</v>
      </c>
      <c r="C4" s="7" t="s">
        <v>33</v>
      </c>
      <c r="D4" s="7" t="s">
        <v>32</v>
      </c>
      <c r="E4" s="7" t="s">
        <v>33</v>
      </c>
      <c r="F4" s="7" t="s">
        <v>32</v>
      </c>
      <c r="G4" s="7" t="s">
        <v>33</v>
      </c>
      <c r="H4" s="7" t="s">
        <v>34</v>
      </c>
      <c r="I4" s="7" t="s">
        <v>35</v>
      </c>
      <c r="J4" s="1"/>
    </row>
    <row r="5" spans="1:10">
      <c r="A5" s="4" t="s">
        <v>36</v>
      </c>
      <c r="B5" s="5">
        <v>26</v>
      </c>
      <c r="C5" s="5">
        <v>235</v>
      </c>
      <c r="D5" s="5">
        <v>26</v>
      </c>
      <c r="E5" s="5">
        <v>250</v>
      </c>
      <c r="F5" s="5">
        <v>22</v>
      </c>
      <c r="G5" s="5">
        <v>261</v>
      </c>
      <c r="H5" s="6">
        <f>G5-C5</f>
        <v>26</v>
      </c>
      <c r="I5" s="6">
        <f>G5-E5</f>
        <v>11</v>
      </c>
      <c r="J5" s="1"/>
    </row>
    <row r="6" spans="1:10">
      <c r="A6" s="4" t="s">
        <v>37</v>
      </c>
      <c r="B6" s="5">
        <v>20</v>
      </c>
      <c r="C6" s="5">
        <v>266</v>
      </c>
      <c r="D6" s="5">
        <v>26</v>
      </c>
      <c r="E6" s="5">
        <v>280</v>
      </c>
      <c r="F6" s="5">
        <v>25</v>
      </c>
      <c r="G6" s="5">
        <v>274</v>
      </c>
      <c r="H6" s="6">
        <f t="shared" ref="H6:H13" si="0">G6-C6</f>
        <v>8</v>
      </c>
      <c r="I6" s="6">
        <f t="shared" ref="I6:I13" si="1">G6-E6</f>
        <v>-6</v>
      </c>
      <c r="J6" s="1"/>
    </row>
    <row r="7" spans="1:10">
      <c r="A7" s="4" t="s">
        <v>38</v>
      </c>
      <c r="B7" s="5">
        <v>20</v>
      </c>
      <c r="C7" s="5">
        <v>269</v>
      </c>
      <c r="D7" s="5">
        <v>26</v>
      </c>
      <c r="E7" s="5">
        <v>280</v>
      </c>
      <c r="F7" s="5">
        <v>23</v>
      </c>
      <c r="G7" s="5">
        <v>258</v>
      </c>
      <c r="H7" s="6">
        <f t="shared" si="0"/>
        <v>-11</v>
      </c>
      <c r="I7" s="6">
        <f t="shared" si="1"/>
        <v>-22</v>
      </c>
      <c r="J7" s="1"/>
    </row>
    <row r="8" spans="1:10">
      <c r="A8" s="4" t="s">
        <v>39</v>
      </c>
      <c r="B8" s="5">
        <v>25</v>
      </c>
      <c r="C8" s="5">
        <v>246</v>
      </c>
      <c r="D8" s="5">
        <v>26</v>
      </c>
      <c r="E8" s="5">
        <v>260</v>
      </c>
      <c r="F8" s="5">
        <v>20</v>
      </c>
      <c r="G8" s="5">
        <v>267</v>
      </c>
      <c r="H8" s="6">
        <f t="shared" si="0"/>
        <v>21</v>
      </c>
      <c r="I8" s="6">
        <f t="shared" si="1"/>
        <v>7</v>
      </c>
      <c r="J8" s="1"/>
    </row>
    <row r="9" spans="1:10">
      <c r="A9" s="4" t="s">
        <v>40</v>
      </c>
      <c r="B9" s="5">
        <v>25</v>
      </c>
      <c r="C9" s="5">
        <v>254</v>
      </c>
      <c r="D9" s="5">
        <v>30</v>
      </c>
      <c r="E9" s="5">
        <v>275</v>
      </c>
      <c r="F9" s="5">
        <v>24</v>
      </c>
      <c r="G9" s="5">
        <v>256</v>
      </c>
      <c r="H9" s="6">
        <f t="shared" si="0"/>
        <v>2</v>
      </c>
      <c r="I9" s="6">
        <f t="shared" si="1"/>
        <v>-19</v>
      </c>
      <c r="J9" s="1"/>
    </row>
    <row r="10" spans="1:10">
      <c r="A10" s="4" t="s">
        <v>41</v>
      </c>
      <c r="B10" s="5">
        <v>20</v>
      </c>
      <c r="C10" s="5">
        <v>248</v>
      </c>
      <c r="D10" s="5">
        <v>26</v>
      </c>
      <c r="E10" s="5">
        <v>240</v>
      </c>
      <c r="F10" s="5">
        <v>21</v>
      </c>
      <c r="G10" s="5">
        <v>241</v>
      </c>
      <c r="H10" s="6">
        <f t="shared" si="0"/>
        <v>-7</v>
      </c>
      <c r="I10" s="6">
        <f t="shared" si="1"/>
        <v>1</v>
      </c>
      <c r="J10" s="1"/>
    </row>
    <row r="11" spans="1:10">
      <c r="A11" s="4" t="s">
        <v>42</v>
      </c>
      <c r="B11" s="5">
        <v>23</v>
      </c>
      <c r="C11" s="5">
        <v>259</v>
      </c>
      <c r="D11" s="5">
        <v>26</v>
      </c>
      <c r="E11" s="5">
        <v>280</v>
      </c>
      <c r="F11" s="5">
        <v>20</v>
      </c>
      <c r="G11" s="5">
        <v>251</v>
      </c>
      <c r="H11" s="6">
        <f t="shared" si="0"/>
        <v>-8</v>
      </c>
      <c r="I11" s="6">
        <f t="shared" si="1"/>
        <v>-29</v>
      </c>
      <c r="J11" s="1"/>
    </row>
    <row r="12" spans="1:10">
      <c r="A12" s="4" t="s">
        <v>43</v>
      </c>
      <c r="B12" s="5">
        <v>22</v>
      </c>
      <c r="C12" s="5">
        <v>277</v>
      </c>
      <c r="D12" s="5">
        <v>26</v>
      </c>
      <c r="E12" s="5">
        <v>290</v>
      </c>
      <c r="F12" s="5">
        <v>27</v>
      </c>
      <c r="G12" s="5">
        <v>281</v>
      </c>
      <c r="H12" s="6">
        <f t="shared" si="0"/>
        <v>4</v>
      </c>
      <c r="I12" s="6">
        <f t="shared" si="1"/>
        <v>-9</v>
      </c>
      <c r="J12" s="1"/>
    </row>
    <row r="13" spans="1:10">
      <c r="A13" s="4" t="s">
        <v>44</v>
      </c>
      <c r="B13" s="5">
        <v>21</v>
      </c>
      <c r="C13" s="5">
        <v>290</v>
      </c>
      <c r="D13" s="5">
        <v>26</v>
      </c>
      <c r="E13" s="5">
        <v>270</v>
      </c>
      <c r="F13" s="5">
        <v>25</v>
      </c>
      <c r="G13" s="5">
        <v>275</v>
      </c>
      <c r="H13" s="6">
        <f t="shared" si="0"/>
        <v>-15</v>
      </c>
      <c r="I13" s="6">
        <f t="shared" si="1"/>
        <v>5</v>
      </c>
      <c r="J13" s="1"/>
    </row>
    <row r="14" spans="1:10">
      <c r="A14" s="1"/>
      <c r="B14" s="1"/>
      <c r="C14" s="1"/>
      <c r="D14" s="1"/>
      <c r="E14" s="1"/>
      <c r="F14" s="1"/>
      <c r="G14" s="1"/>
      <c r="H14" s="1"/>
      <c r="I14" s="1"/>
      <c r="J14" s="1"/>
    </row>
  </sheetData>
  <mergeCells count="5">
    <mergeCell ref="A3:A4"/>
    <mergeCell ref="B3:C3"/>
    <mergeCell ref="D3:E3"/>
    <mergeCell ref="F3:G3"/>
    <mergeCell ref="H3:I3"/>
  </mergeCells>
  <phoneticPr fontId="2" type="noConversion"/>
  <conditionalFormatting sqref="A5:I13">
    <cfRule type="expression" dxfId="1" priority="1">
      <formula>AND($H5&gt;=0,$I5&gt;=0)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O42"/>
  <sheetViews>
    <sheetView workbookViewId="0">
      <selection activeCell="E3" sqref="E3"/>
    </sheetView>
  </sheetViews>
  <sheetFormatPr defaultRowHeight="16.5"/>
  <cols>
    <col min="1" max="1" width="12.125" customWidth="1"/>
    <col min="2" max="3" width="10.625" bestFit="1" customWidth="1"/>
    <col min="4" max="4" width="11.125" bestFit="1" customWidth="1"/>
    <col min="5" max="5" width="14.125" customWidth="1"/>
    <col min="6" max="6" width="12.375" bestFit="1" customWidth="1"/>
    <col min="9" max="9" width="12.375" bestFit="1" customWidth="1"/>
    <col min="10" max="10" width="11.125" customWidth="1"/>
    <col min="11" max="11" width="11.875" customWidth="1"/>
    <col min="12" max="12" width="10.125" customWidth="1"/>
    <col min="13" max="13" width="11.375" customWidth="1"/>
  </cols>
  <sheetData>
    <row r="1" spans="1:15">
      <c r="A1" s="8" t="s">
        <v>45</v>
      </c>
      <c r="B1" s="1"/>
      <c r="C1" s="1"/>
      <c r="D1" s="1"/>
      <c r="E1" s="1"/>
      <c r="F1" s="1"/>
      <c r="G1" s="1"/>
      <c r="H1" s="8" t="s">
        <v>46</v>
      </c>
      <c r="I1" s="1"/>
      <c r="J1" s="1"/>
      <c r="K1" s="1"/>
      <c r="L1" s="1"/>
      <c r="M1" s="1"/>
      <c r="N1" s="1"/>
      <c r="O1" s="1"/>
    </row>
    <row r="2" spans="1:15">
      <c r="A2" s="9" t="s">
        <v>2</v>
      </c>
      <c r="B2" s="9" t="s">
        <v>47</v>
      </c>
      <c r="C2" s="9" t="s">
        <v>48</v>
      </c>
      <c r="D2" s="9" t="s">
        <v>49</v>
      </c>
      <c r="E2" s="7" t="s">
        <v>50</v>
      </c>
      <c r="F2" s="1"/>
      <c r="G2" s="1"/>
      <c r="H2" s="9"/>
      <c r="I2" s="9" t="s">
        <v>51</v>
      </c>
      <c r="J2" s="9" t="s">
        <v>52</v>
      </c>
      <c r="K2" s="9" t="s">
        <v>53</v>
      </c>
      <c r="L2" s="9" t="s">
        <v>54</v>
      </c>
      <c r="M2" s="7" t="s">
        <v>55</v>
      </c>
      <c r="N2" s="1"/>
      <c r="O2" s="1"/>
    </row>
    <row r="3" spans="1:15">
      <c r="A3" s="9" t="s">
        <v>56</v>
      </c>
      <c r="B3" s="10">
        <v>791900</v>
      </c>
      <c r="C3" s="10">
        <v>502260</v>
      </c>
      <c r="D3" s="10">
        <f>SUM(B3:C3)</f>
        <v>1294160</v>
      </c>
      <c r="E3" s="10">
        <f>TRUNC(VLOOKUP(D3,$A$12:$D$15,3,1)*D3-VLOOKUP(D3,$A$12:$D$15,4,1),-1)</f>
        <v>79410</v>
      </c>
      <c r="F3" s="1"/>
      <c r="G3" s="1"/>
      <c r="H3" s="9" t="s">
        <v>57</v>
      </c>
      <c r="I3" s="9">
        <v>30</v>
      </c>
      <c r="J3" s="9">
        <v>17</v>
      </c>
      <c r="K3" s="9">
        <v>13</v>
      </c>
      <c r="L3" s="9">
        <v>60</v>
      </c>
      <c r="M3" s="9" t="str">
        <f>CHOOSE(_xlfn.RANK.EQ(L3,$L$3:$L$9,0),$I$13,$I$14,$I$15,"","","","")</f>
        <v/>
      </c>
      <c r="N3" s="1"/>
      <c r="O3" s="1"/>
    </row>
    <row r="4" spans="1:15">
      <c r="A4" s="9" t="s">
        <v>58</v>
      </c>
      <c r="B4" s="10">
        <v>851200</v>
      </c>
      <c r="C4" s="10">
        <v>598750</v>
      </c>
      <c r="D4" s="10">
        <f t="shared" ref="D4:D9" si="0">SUM(B4:C4)</f>
        <v>1449950</v>
      </c>
      <c r="E4" s="10">
        <f t="shared" ref="E4:E9" si="1">TRUNC(VLOOKUP(D4,$A$12:$D$15,3,1)*D4-VLOOKUP(D4,$A$12:$D$15,4,1),-1)</f>
        <v>94990</v>
      </c>
      <c r="F4" s="1"/>
      <c r="G4" s="1"/>
      <c r="H4" s="9" t="s">
        <v>59</v>
      </c>
      <c r="I4" s="9">
        <v>21</v>
      </c>
      <c r="J4" s="9">
        <v>33</v>
      </c>
      <c r="K4" s="9">
        <v>33</v>
      </c>
      <c r="L4" s="9">
        <v>87</v>
      </c>
      <c r="M4" s="9" t="str">
        <f t="shared" ref="M4:M9" si="2">CHOOSE(_xlfn.RANK.EQ(L4,$L$3:$L$9,0),$I$13,$I$14,$I$15,"","","","")</f>
        <v>외식상품권</v>
      </c>
      <c r="N4" s="1"/>
      <c r="O4" s="1"/>
    </row>
    <row r="5" spans="1:15">
      <c r="A5" s="9" t="s">
        <v>60</v>
      </c>
      <c r="B5" s="10">
        <v>1050800</v>
      </c>
      <c r="C5" s="10">
        <v>815260</v>
      </c>
      <c r="D5" s="10">
        <f t="shared" si="0"/>
        <v>1866060</v>
      </c>
      <c r="E5" s="10">
        <f t="shared" si="1"/>
        <v>136600</v>
      </c>
      <c r="F5" s="1"/>
      <c r="G5" s="1"/>
      <c r="H5" s="9" t="s">
        <v>61</v>
      </c>
      <c r="I5" s="9">
        <v>25</v>
      </c>
      <c r="J5" s="9">
        <v>11</v>
      </c>
      <c r="K5" s="9">
        <v>16</v>
      </c>
      <c r="L5" s="9">
        <v>52</v>
      </c>
      <c r="M5" s="9" t="str">
        <f t="shared" si="2"/>
        <v/>
      </c>
      <c r="N5" s="1"/>
      <c r="O5" s="1"/>
    </row>
    <row r="6" spans="1:15">
      <c r="A6" s="9" t="s">
        <v>62</v>
      </c>
      <c r="B6" s="10">
        <v>923100</v>
      </c>
      <c r="C6" s="10">
        <v>751330</v>
      </c>
      <c r="D6" s="10">
        <f t="shared" si="0"/>
        <v>1674430</v>
      </c>
      <c r="E6" s="10">
        <f t="shared" si="1"/>
        <v>117440</v>
      </c>
      <c r="F6" s="1"/>
      <c r="G6" s="1"/>
      <c r="H6" s="9" t="s">
        <v>63</v>
      </c>
      <c r="I6" s="9">
        <v>19</v>
      </c>
      <c r="J6" s="9">
        <v>24</v>
      </c>
      <c r="K6" s="9">
        <v>32</v>
      </c>
      <c r="L6" s="9">
        <v>75</v>
      </c>
      <c r="M6" s="9" t="str">
        <f t="shared" si="2"/>
        <v>문화상품권</v>
      </c>
      <c r="N6" s="1"/>
      <c r="O6" s="1"/>
    </row>
    <row r="7" spans="1:15">
      <c r="A7" s="9" t="s">
        <v>64</v>
      </c>
      <c r="B7" s="10">
        <v>1500650</v>
      </c>
      <c r="C7" s="10">
        <v>1257580</v>
      </c>
      <c r="D7" s="10">
        <f t="shared" si="0"/>
        <v>2758230</v>
      </c>
      <c r="E7" s="10">
        <f t="shared" si="1"/>
        <v>263730</v>
      </c>
      <c r="F7" s="1"/>
      <c r="G7" s="1"/>
      <c r="H7" s="9" t="s">
        <v>65</v>
      </c>
      <c r="I7" s="9">
        <v>27</v>
      </c>
      <c r="J7" s="9">
        <v>20</v>
      </c>
      <c r="K7" s="9">
        <v>18</v>
      </c>
      <c r="L7" s="9">
        <v>65</v>
      </c>
      <c r="M7" s="9" t="str">
        <f t="shared" si="2"/>
        <v/>
      </c>
      <c r="N7" s="1"/>
      <c r="O7" s="1"/>
    </row>
    <row r="8" spans="1:15">
      <c r="A8" s="9" t="s">
        <v>66</v>
      </c>
      <c r="B8" s="10">
        <v>1150200</v>
      </c>
      <c r="C8" s="10">
        <v>936240</v>
      </c>
      <c r="D8" s="10">
        <f t="shared" si="0"/>
        <v>2086440</v>
      </c>
      <c r="E8" s="10">
        <f t="shared" si="1"/>
        <v>162960</v>
      </c>
      <c r="F8" s="1"/>
      <c r="G8" s="1"/>
      <c r="H8" s="9" t="s">
        <v>67</v>
      </c>
      <c r="I8" s="9">
        <v>24</v>
      </c>
      <c r="J8" s="9">
        <v>30</v>
      </c>
      <c r="K8" s="9">
        <v>26</v>
      </c>
      <c r="L8" s="9">
        <v>80</v>
      </c>
      <c r="M8" s="9" t="str">
        <f t="shared" si="2"/>
        <v>주유권</v>
      </c>
      <c r="N8" s="1"/>
      <c r="O8" s="1"/>
    </row>
    <row r="9" spans="1:15">
      <c r="A9" s="9" t="s">
        <v>68</v>
      </c>
      <c r="B9" s="10">
        <v>505000</v>
      </c>
      <c r="C9" s="10">
        <v>409620</v>
      </c>
      <c r="D9" s="10">
        <f t="shared" si="0"/>
        <v>914620</v>
      </c>
      <c r="E9" s="10">
        <f t="shared" si="1"/>
        <v>45730</v>
      </c>
      <c r="F9" s="1"/>
      <c r="G9" s="1"/>
      <c r="H9" s="9" t="s">
        <v>69</v>
      </c>
      <c r="I9" s="9">
        <v>16</v>
      </c>
      <c r="J9" s="9">
        <v>11</v>
      </c>
      <c r="K9" s="9">
        <v>16</v>
      </c>
      <c r="L9" s="9">
        <v>43</v>
      </c>
      <c r="M9" s="9" t="str">
        <f t="shared" si="2"/>
        <v/>
      </c>
      <c r="N9" s="1"/>
      <c r="O9" s="1"/>
    </row>
    <row r="10" spans="1:15">
      <c r="A10" s="1"/>
      <c r="B10" s="1"/>
      <c r="C10" s="1"/>
      <c r="D10" s="1"/>
      <c r="E10" s="1"/>
      <c r="F10" s="1"/>
      <c r="G10" s="1"/>
      <c r="H10" s="11"/>
      <c r="I10" s="11"/>
      <c r="J10" s="11"/>
      <c r="K10" s="11"/>
      <c r="L10" s="11"/>
      <c r="M10" s="11"/>
      <c r="N10" s="1"/>
      <c r="O10" s="1"/>
    </row>
    <row r="11" spans="1:15">
      <c r="A11" s="9" t="s">
        <v>70</v>
      </c>
      <c r="B11" s="1"/>
      <c r="C11" s="1"/>
      <c r="D11" s="1"/>
      <c r="E11" s="1"/>
      <c r="F11" s="1"/>
      <c r="G11" s="1"/>
      <c r="H11" s="11"/>
      <c r="I11" s="11"/>
      <c r="J11" s="11"/>
      <c r="K11" s="11"/>
      <c r="L11" s="11"/>
      <c r="M11" s="11"/>
      <c r="N11" s="1"/>
      <c r="O11" s="1"/>
    </row>
    <row r="12" spans="1:15">
      <c r="A12" s="9" t="s">
        <v>71</v>
      </c>
      <c r="B12" s="9" t="s">
        <v>72</v>
      </c>
      <c r="C12" s="9" t="s">
        <v>73</v>
      </c>
      <c r="D12" s="9" t="s">
        <v>74</v>
      </c>
      <c r="E12" s="1"/>
      <c r="F12" s="1"/>
      <c r="G12" s="1"/>
      <c r="H12" s="9" t="s">
        <v>75</v>
      </c>
      <c r="I12" s="12" t="s">
        <v>76</v>
      </c>
      <c r="J12" s="1"/>
      <c r="K12" s="1"/>
      <c r="L12" s="1"/>
      <c r="M12" s="1"/>
      <c r="N12" s="1"/>
      <c r="O12" s="1"/>
    </row>
    <row r="13" spans="1:15">
      <c r="A13" s="13">
        <v>0</v>
      </c>
      <c r="B13" s="13">
        <v>1000000</v>
      </c>
      <c r="C13" s="14">
        <v>0.05</v>
      </c>
      <c r="D13" s="13">
        <v>0</v>
      </c>
      <c r="E13" s="1"/>
      <c r="F13" s="15"/>
      <c r="G13" s="15"/>
      <c r="H13" s="9">
        <v>1</v>
      </c>
      <c r="I13" s="12" t="s">
        <v>77</v>
      </c>
      <c r="J13" s="1"/>
      <c r="K13" s="1"/>
      <c r="L13" s="1"/>
      <c r="M13" s="1"/>
      <c r="N13" s="1"/>
      <c r="O13" s="1"/>
    </row>
    <row r="14" spans="1:15">
      <c r="A14" s="13">
        <v>1000001</v>
      </c>
      <c r="B14" s="13">
        <v>2000000</v>
      </c>
      <c r="C14" s="14">
        <v>0.1</v>
      </c>
      <c r="D14" s="13">
        <v>50000</v>
      </c>
      <c r="E14" s="1"/>
      <c r="F14" s="15"/>
      <c r="G14" s="15"/>
      <c r="H14" s="9">
        <v>2</v>
      </c>
      <c r="I14" s="12" t="s">
        <v>78</v>
      </c>
      <c r="J14" s="1"/>
      <c r="K14" s="1"/>
      <c r="L14" s="1"/>
      <c r="M14" s="1"/>
      <c r="N14" s="1"/>
      <c r="O14" s="1"/>
    </row>
    <row r="15" spans="1:15">
      <c r="A15" s="13">
        <v>2000001</v>
      </c>
      <c r="B15" s="13">
        <v>3000000</v>
      </c>
      <c r="C15" s="14">
        <v>0.15</v>
      </c>
      <c r="D15" s="13">
        <v>150000</v>
      </c>
      <c r="E15" s="1"/>
      <c r="F15" s="1"/>
      <c r="G15" s="1"/>
      <c r="H15" s="9">
        <v>3</v>
      </c>
      <c r="I15" s="12" t="s">
        <v>79</v>
      </c>
      <c r="J15" s="1"/>
      <c r="K15" s="1"/>
      <c r="L15" s="1"/>
      <c r="M15" s="1"/>
      <c r="N15" s="1"/>
      <c r="O15" s="1"/>
    </row>
    <row r="16" spans="1:1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1:15">
      <c r="A18" s="8" t="s">
        <v>80</v>
      </c>
      <c r="B18" s="1"/>
      <c r="C18" s="1"/>
      <c r="D18" s="1"/>
      <c r="E18" s="1"/>
      <c r="F18" s="1"/>
      <c r="G18" s="1"/>
      <c r="H18" s="8" t="s">
        <v>211</v>
      </c>
      <c r="I18" s="1"/>
      <c r="J18" s="1"/>
      <c r="K18" s="1"/>
      <c r="L18" s="1"/>
      <c r="M18" s="1"/>
      <c r="N18" s="1"/>
      <c r="O18" s="1"/>
    </row>
    <row r="19" spans="1:15">
      <c r="A19" s="68" t="s">
        <v>81</v>
      </c>
      <c r="B19" s="62" t="s">
        <v>82</v>
      </c>
      <c r="C19" s="68" t="s">
        <v>83</v>
      </c>
      <c r="D19" s="62" t="s">
        <v>84</v>
      </c>
      <c r="E19" s="16" t="s">
        <v>85</v>
      </c>
      <c r="F19" s="69" t="s">
        <v>86</v>
      </c>
      <c r="G19" s="17"/>
      <c r="H19" s="9" t="s">
        <v>87</v>
      </c>
      <c r="I19" s="9" t="s">
        <v>212</v>
      </c>
      <c r="J19" s="9" t="s">
        <v>213</v>
      </c>
      <c r="K19" s="9" t="s">
        <v>214</v>
      </c>
      <c r="L19" s="9" t="s">
        <v>132</v>
      </c>
      <c r="M19" s="1"/>
      <c r="N19" s="1"/>
      <c r="O19" s="1"/>
    </row>
    <row r="20" spans="1:15">
      <c r="A20" s="68"/>
      <c r="B20" s="63"/>
      <c r="C20" s="68"/>
      <c r="D20" s="63"/>
      <c r="E20" s="18" t="s">
        <v>88</v>
      </c>
      <c r="F20" s="70"/>
      <c r="G20" s="17"/>
      <c r="H20" s="9" t="s">
        <v>90</v>
      </c>
      <c r="I20" s="9" t="s">
        <v>91</v>
      </c>
      <c r="J20" s="13">
        <v>80000</v>
      </c>
      <c r="K20" s="13">
        <v>12</v>
      </c>
      <c r="L20" s="40">
        <f>J20*K20</f>
        <v>960000</v>
      </c>
      <c r="M20" s="1"/>
      <c r="N20" s="1"/>
      <c r="O20" s="1"/>
    </row>
    <row r="21" spans="1:15">
      <c r="A21" s="9">
        <v>2734</v>
      </c>
      <c r="B21" s="9" t="s">
        <v>89</v>
      </c>
      <c r="C21" s="19">
        <v>0.30555555555555552</v>
      </c>
      <c r="D21" s="9">
        <v>27</v>
      </c>
      <c r="E21" s="9">
        <v>5</v>
      </c>
      <c r="F21" s="20">
        <f>TIME(HOUR(C21),MINUTE(C21)+(D21*E21),0)</f>
        <v>0.39930555555555558</v>
      </c>
      <c r="G21" s="21"/>
      <c r="H21" s="9" t="s">
        <v>215</v>
      </c>
      <c r="I21" s="9" t="s">
        <v>216</v>
      </c>
      <c r="J21" s="13">
        <v>100000</v>
      </c>
      <c r="K21" s="13">
        <v>20</v>
      </c>
      <c r="L21" s="40">
        <f t="shared" ref="L21:L28" si="3">J21*K21</f>
        <v>2000000</v>
      </c>
      <c r="M21" s="1"/>
      <c r="N21" s="1"/>
      <c r="O21" s="1"/>
    </row>
    <row r="22" spans="1:15">
      <c r="A22" s="9">
        <v>7400</v>
      </c>
      <c r="B22" s="9" t="s">
        <v>92</v>
      </c>
      <c r="C22" s="19">
        <v>0.36458333333333331</v>
      </c>
      <c r="D22" s="9">
        <v>32</v>
      </c>
      <c r="E22" s="9">
        <v>4</v>
      </c>
      <c r="F22" s="20">
        <f t="shared" ref="F22:F28" si="4">TIME(HOUR(C22),MINUTE(C22)+(D22*E22),0)</f>
        <v>0.45347222222222222</v>
      </c>
      <c r="G22" s="21"/>
      <c r="H22" s="9" t="s">
        <v>217</v>
      </c>
      <c r="I22" s="9" t="s">
        <v>218</v>
      </c>
      <c r="J22" s="13">
        <v>75000</v>
      </c>
      <c r="K22" s="13">
        <v>8</v>
      </c>
      <c r="L22" s="40">
        <f t="shared" si="3"/>
        <v>600000</v>
      </c>
      <c r="M22" s="1"/>
      <c r="N22" s="1"/>
      <c r="O22" s="1"/>
    </row>
    <row r="23" spans="1:15">
      <c r="A23" s="9">
        <v>3184</v>
      </c>
      <c r="B23" s="9" t="s">
        <v>93</v>
      </c>
      <c r="C23" s="19">
        <v>0.375</v>
      </c>
      <c r="D23" s="9">
        <v>28</v>
      </c>
      <c r="E23" s="9">
        <v>5</v>
      </c>
      <c r="F23" s="20">
        <f t="shared" si="4"/>
        <v>0.47222222222222227</v>
      </c>
      <c r="G23" s="21"/>
      <c r="H23" s="9" t="s">
        <v>215</v>
      </c>
      <c r="I23" s="9" t="s">
        <v>219</v>
      </c>
      <c r="J23" s="10">
        <v>90000</v>
      </c>
      <c r="K23" s="10">
        <v>26</v>
      </c>
      <c r="L23" s="40">
        <f t="shared" si="3"/>
        <v>2340000</v>
      </c>
      <c r="M23" s="1"/>
      <c r="N23" s="1"/>
      <c r="O23" s="1"/>
    </row>
    <row r="24" spans="1:15">
      <c r="A24" s="9">
        <v>5284</v>
      </c>
      <c r="B24" s="9" t="s">
        <v>94</v>
      </c>
      <c r="C24" s="19">
        <v>0.4236111111111111</v>
      </c>
      <c r="D24" s="9">
        <v>16</v>
      </c>
      <c r="E24" s="9">
        <v>8</v>
      </c>
      <c r="F24" s="20">
        <f t="shared" si="4"/>
        <v>0.51250000000000007</v>
      </c>
      <c r="G24" s="21"/>
      <c r="H24" s="9" t="s">
        <v>220</v>
      </c>
      <c r="I24" s="9" t="s">
        <v>221</v>
      </c>
      <c r="J24" s="13">
        <v>80000</v>
      </c>
      <c r="K24" s="13">
        <v>15</v>
      </c>
      <c r="L24" s="40">
        <f t="shared" si="3"/>
        <v>1200000</v>
      </c>
      <c r="M24" s="1"/>
      <c r="N24" s="1"/>
      <c r="O24" s="1"/>
    </row>
    <row r="25" spans="1:15">
      <c r="A25" s="9">
        <v>6206</v>
      </c>
      <c r="B25" s="9" t="s">
        <v>95</v>
      </c>
      <c r="C25" s="19">
        <v>0.39930555555555558</v>
      </c>
      <c r="D25" s="9">
        <v>42</v>
      </c>
      <c r="E25" s="9">
        <v>3</v>
      </c>
      <c r="F25" s="20">
        <f t="shared" si="4"/>
        <v>0.48680555555555555</v>
      </c>
      <c r="G25" s="21"/>
      <c r="H25" s="9" t="s">
        <v>222</v>
      </c>
      <c r="I25" s="9" t="s">
        <v>223</v>
      </c>
      <c r="J25" s="10">
        <v>85000</v>
      </c>
      <c r="K25" s="10">
        <v>3</v>
      </c>
      <c r="L25" s="40">
        <f t="shared" si="3"/>
        <v>255000</v>
      </c>
      <c r="M25" s="1"/>
      <c r="N25" s="1"/>
      <c r="O25" s="1"/>
    </row>
    <row r="26" spans="1:15">
      <c r="A26" s="9">
        <v>9717</v>
      </c>
      <c r="B26" s="9" t="s">
        <v>96</v>
      </c>
      <c r="C26" s="19">
        <v>0.47222222222222227</v>
      </c>
      <c r="D26" s="9">
        <v>25</v>
      </c>
      <c r="E26" s="9">
        <v>6</v>
      </c>
      <c r="F26" s="20">
        <f t="shared" si="4"/>
        <v>0.57638888888888895</v>
      </c>
      <c r="G26" s="21"/>
      <c r="H26" s="9" t="s">
        <v>224</v>
      </c>
      <c r="I26" s="9" t="s">
        <v>225</v>
      </c>
      <c r="J26" s="10">
        <v>90000</v>
      </c>
      <c r="K26" s="10">
        <v>5</v>
      </c>
      <c r="L26" s="40">
        <f t="shared" si="3"/>
        <v>450000</v>
      </c>
      <c r="M26" s="1"/>
      <c r="N26" s="1"/>
      <c r="O26" s="1"/>
    </row>
    <row r="27" spans="1:15">
      <c r="A27" s="9">
        <v>4844</v>
      </c>
      <c r="B27" s="9" t="s">
        <v>97</v>
      </c>
      <c r="C27" s="19">
        <v>0.34722222222222227</v>
      </c>
      <c r="D27" s="9">
        <v>35</v>
      </c>
      <c r="E27" s="9">
        <v>4</v>
      </c>
      <c r="F27" s="20">
        <f t="shared" si="4"/>
        <v>0.44444444444444442</v>
      </c>
      <c r="G27" s="21"/>
      <c r="H27" s="9" t="s">
        <v>215</v>
      </c>
      <c r="I27" s="9" t="s">
        <v>226</v>
      </c>
      <c r="J27" s="10">
        <v>95000</v>
      </c>
      <c r="K27" s="10">
        <v>12</v>
      </c>
      <c r="L27" s="40">
        <f t="shared" si="3"/>
        <v>1140000</v>
      </c>
      <c r="M27" s="1"/>
      <c r="N27" s="1"/>
      <c r="O27" s="1"/>
    </row>
    <row r="28" spans="1:15">
      <c r="A28" s="9">
        <v>3662</v>
      </c>
      <c r="B28" s="9" t="s">
        <v>98</v>
      </c>
      <c r="C28" s="19">
        <v>0.35416666666666669</v>
      </c>
      <c r="D28" s="9">
        <v>23</v>
      </c>
      <c r="E28" s="9">
        <v>7</v>
      </c>
      <c r="F28" s="20">
        <f t="shared" si="4"/>
        <v>0.46597222222222223</v>
      </c>
      <c r="G28" s="21"/>
      <c r="H28" s="9" t="s">
        <v>220</v>
      </c>
      <c r="I28" s="9" t="s">
        <v>227</v>
      </c>
      <c r="J28" s="10">
        <v>80000</v>
      </c>
      <c r="K28" s="10">
        <v>2</v>
      </c>
      <c r="L28" s="40">
        <f t="shared" si="3"/>
        <v>160000</v>
      </c>
      <c r="M28" s="1"/>
      <c r="N28" s="1"/>
      <c r="O28" s="1"/>
    </row>
    <row r="29" spans="1:1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>
      <c r="A30" s="1"/>
      <c r="B30" s="1"/>
      <c r="C30" s="1"/>
      <c r="D30" s="1"/>
      <c r="E30" s="1"/>
      <c r="F30" s="1"/>
      <c r="G30" s="1"/>
      <c r="H30" s="7" t="s">
        <v>228</v>
      </c>
      <c r="I30" s="7" t="s">
        <v>229</v>
      </c>
      <c r="J30" s="1"/>
      <c r="K30" s="1"/>
      <c r="L30" s="1"/>
      <c r="M30" s="1"/>
      <c r="N30" s="1"/>
      <c r="O30" s="1"/>
    </row>
    <row r="31" spans="1:15">
      <c r="A31" s="8" t="s">
        <v>99</v>
      </c>
      <c r="B31" s="1"/>
      <c r="C31" s="1"/>
      <c r="D31" s="1"/>
      <c r="E31" s="1"/>
      <c r="F31" s="1"/>
      <c r="G31" s="1"/>
      <c r="H31" s="9" t="s">
        <v>230</v>
      </c>
      <c r="I31" s="9">
        <f ca="1">SUMIF(H19:L28,"영업부",K19:K28)</f>
        <v>29</v>
      </c>
      <c r="J31" s="1"/>
      <c r="K31" s="1"/>
      <c r="L31" s="1"/>
      <c r="M31" s="1"/>
      <c r="N31" s="1"/>
      <c r="O31" s="1"/>
    </row>
    <row r="32" spans="1:15">
      <c r="A32" s="9" t="s">
        <v>100</v>
      </c>
      <c r="B32" s="9" t="s">
        <v>101</v>
      </c>
      <c r="C32" s="9" t="s">
        <v>102</v>
      </c>
      <c r="D32" s="9" t="s">
        <v>103</v>
      </c>
      <c r="E32" s="7" t="s">
        <v>104</v>
      </c>
      <c r="F32" s="1"/>
      <c r="G32" s="1"/>
      <c r="H32" s="9" t="s">
        <v>231</v>
      </c>
      <c r="I32" s="9">
        <f ca="1">SUMIF(H19:L28,"생산부",K19:K28)</f>
        <v>63</v>
      </c>
      <c r="J32" s="1"/>
      <c r="K32" s="1"/>
      <c r="L32" s="1"/>
      <c r="M32" s="1"/>
      <c r="N32" s="1"/>
      <c r="O32" s="1"/>
    </row>
    <row r="33" spans="1:15">
      <c r="A33" s="22">
        <v>42803</v>
      </c>
      <c r="B33" s="9" t="s">
        <v>105</v>
      </c>
      <c r="C33" s="9" t="s">
        <v>106</v>
      </c>
      <c r="D33" s="9" t="s">
        <v>107</v>
      </c>
      <c r="E33" s="22" t="str">
        <f>UPPER(C33)&amp;"-"&amp;UPPER(D33)&amp;"-"&amp;RIGHT(B33,1)</f>
        <v>PGH-A-1</v>
      </c>
      <c r="F33" s="1"/>
      <c r="G33" s="1"/>
      <c r="H33" s="9" t="s">
        <v>232</v>
      </c>
      <c r="I33" s="9">
        <f ca="1">SUMIF(H19:L28,"총무부",K19:K28)</f>
        <v>11</v>
      </c>
      <c r="J33" s="1"/>
      <c r="K33" s="1"/>
      <c r="L33" s="1"/>
      <c r="M33" s="1"/>
      <c r="N33" s="1"/>
      <c r="O33" s="1"/>
    </row>
    <row r="34" spans="1:15">
      <c r="A34" s="22">
        <v>43201</v>
      </c>
      <c r="B34" s="9" t="s">
        <v>108</v>
      </c>
      <c r="C34" s="9" t="s">
        <v>109</v>
      </c>
      <c r="D34" s="9" t="s">
        <v>110</v>
      </c>
      <c r="E34" s="22" t="str">
        <f t="shared" ref="E34:E39" si="5">UPPER(C34)&amp;"-"&amp;UPPER(D34)&amp;"-"&amp;RIGHT(B34,1)</f>
        <v>PGW-S-2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1:15">
      <c r="A35" s="22">
        <v>43031</v>
      </c>
      <c r="B35" s="9" t="s">
        <v>111</v>
      </c>
      <c r="C35" s="9" t="s">
        <v>112</v>
      </c>
      <c r="D35" s="9" t="s">
        <v>113</v>
      </c>
      <c r="E35" s="22" t="str">
        <f t="shared" si="5"/>
        <v>PGS-F-3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1:15">
      <c r="A36" s="22">
        <v>43643</v>
      </c>
      <c r="B36" s="9" t="s">
        <v>114</v>
      </c>
      <c r="C36" s="9" t="s">
        <v>115</v>
      </c>
      <c r="D36" s="9" t="s">
        <v>116</v>
      </c>
      <c r="E36" s="22" t="str">
        <f t="shared" si="5"/>
        <v>PGF-W-3</v>
      </c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1:15">
      <c r="A37" s="22">
        <v>43464</v>
      </c>
      <c r="B37" s="9" t="s">
        <v>117</v>
      </c>
      <c r="C37" s="9" t="s">
        <v>109</v>
      </c>
      <c r="D37" s="9" t="s">
        <v>118</v>
      </c>
      <c r="E37" s="22" t="str">
        <f t="shared" si="5"/>
        <v>PGW-A-4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1:15">
      <c r="A38" s="22">
        <v>43649</v>
      </c>
      <c r="B38" s="9" t="s">
        <v>119</v>
      </c>
      <c r="C38" s="9" t="s">
        <v>120</v>
      </c>
      <c r="D38" s="9" t="s">
        <v>121</v>
      </c>
      <c r="E38" s="22" t="str">
        <f t="shared" si="5"/>
        <v>PGH-S-1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1:15">
      <c r="A39" s="22">
        <v>43360</v>
      </c>
      <c r="B39" s="9" t="s">
        <v>122</v>
      </c>
      <c r="C39" s="9" t="s">
        <v>115</v>
      </c>
      <c r="D39" s="9" t="s">
        <v>123</v>
      </c>
      <c r="E39" s="22" t="str">
        <f t="shared" si="5"/>
        <v>PGF-Q-2</v>
      </c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1:1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1:1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1:1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</row>
  </sheetData>
  <mergeCells count="5">
    <mergeCell ref="A19:A20"/>
    <mergeCell ref="B19:B20"/>
    <mergeCell ref="C19:C20"/>
    <mergeCell ref="D19:D20"/>
    <mergeCell ref="F19:F20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I67"/>
  <sheetViews>
    <sheetView workbookViewId="0">
      <selection activeCell="L26" sqref="L26"/>
    </sheetView>
  </sheetViews>
  <sheetFormatPr defaultRowHeight="16.5" outlineLevelRow="3"/>
  <cols>
    <col min="1" max="1" width="12.125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 ht="20.25">
      <c r="A2" s="71" t="s">
        <v>124</v>
      </c>
      <c r="B2" s="71"/>
      <c r="C2" s="71"/>
      <c r="D2" s="71"/>
      <c r="E2" s="71"/>
      <c r="F2" s="71"/>
      <c r="G2" s="71"/>
      <c r="H2" s="71"/>
      <c r="I2" s="7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23" t="s">
        <v>125</v>
      </c>
      <c r="B4" s="23" t="s">
        <v>126</v>
      </c>
      <c r="C4" s="23" t="s">
        <v>127</v>
      </c>
      <c r="D4" s="23" t="s">
        <v>82</v>
      </c>
      <c r="E4" s="23" t="s">
        <v>128</v>
      </c>
      <c r="F4" s="23" t="s">
        <v>129</v>
      </c>
      <c r="G4" s="24" t="s">
        <v>130</v>
      </c>
      <c r="H4" s="24" t="s">
        <v>131</v>
      </c>
      <c r="I4" s="24" t="s">
        <v>132</v>
      </c>
    </row>
    <row r="5" spans="1:9" outlineLevel="3">
      <c r="A5" s="25">
        <v>44572</v>
      </c>
      <c r="B5" s="11">
        <v>1416</v>
      </c>
      <c r="C5" s="11" t="s">
        <v>145</v>
      </c>
      <c r="D5" s="11" t="s">
        <v>146</v>
      </c>
      <c r="E5" s="26">
        <v>24</v>
      </c>
      <c r="F5" s="11" t="s">
        <v>139</v>
      </c>
      <c r="G5" s="26">
        <v>18382</v>
      </c>
      <c r="H5" s="26">
        <v>17675</v>
      </c>
      <c r="I5" s="26">
        <v>424000</v>
      </c>
    </row>
    <row r="6" spans="1:9" outlineLevel="3">
      <c r="A6" s="25">
        <v>44572</v>
      </c>
      <c r="B6" s="11">
        <v>1705</v>
      </c>
      <c r="C6" s="11" t="s">
        <v>145</v>
      </c>
      <c r="D6" s="11" t="s">
        <v>140</v>
      </c>
      <c r="E6" s="26">
        <v>18</v>
      </c>
      <c r="F6" s="11" t="s">
        <v>149</v>
      </c>
      <c r="G6" s="26">
        <v>19474</v>
      </c>
      <c r="H6" s="26">
        <v>18725</v>
      </c>
      <c r="I6" s="26">
        <v>337000</v>
      </c>
    </row>
    <row r="7" spans="1:9" outlineLevel="2">
      <c r="A7" s="42" t="s">
        <v>289</v>
      </c>
      <c r="B7" s="11"/>
      <c r="C7" s="11"/>
      <c r="D7" s="11"/>
      <c r="E7" s="26"/>
      <c r="F7" s="11"/>
      <c r="G7" s="26"/>
      <c r="H7" s="26"/>
      <c r="I7" s="26">
        <f>SUBTOTAL(1,I5:I6)</f>
        <v>380500</v>
      </c>
    </row>
    <row r="8" spans="1:9" outlineLevel="1">
      <c r="A8" s="42" t="s">
        <v>274</v>
      </c>
      <c r="B8" s="11"/>
      <c r="C8" s="11"/>
      <c r="D8" s="11"/>
      <c r="E8" s="26">
        <f>SUBTOTAL(9,E5:E6)</f>
        <v>42</v>
      </c>
      <c r="F8" s="11"/>
      <c r="G8" s="26"/>
      <c r="H8" s="26"/>
      <c r="I8" s="26"/>
    </row>
    <row r="9" spans="1:9" outlineLevel="3">
      <c r="A9" s="25">
        <v>44574</v>
      </c>
      <c r="B9" s="11">
        <v>1935</v>
      </c>
      <c r="C9" s="11" t="s">
        <v>145</v>
      </c>
      <c r="D9" s="11" t="s">
        <v>150</v>
      </c>
      <c r="E9" s="26">
        <v>16</v>
      </c>
      <c r="F9" s="11" t="s">
        <v>139</v>
      </c>
      <c r="G9" s="26">
        <v>19450.080000000002</v>
      </c>
      <c r="H9" s="26">
        <v>18702</v>
      </c>
      <c r="I9" s="26">
        <v>299000</v>
      </c>
    </row>
    <row r="10" spans="1:9" outlineLevel="2">
      <c r="A10" s="42" t="s">
        <v>290</v>
      </c>
      <c r="B10" s="11"/>
      <c r="C10" s="11"/>
      <c r="D10" s="11"/>
      <c r="E10" s="26"/>
      <c r="F10" s="11"/>
      <c r="G10" s="26"/>
      <c r="H10" s="26"/>
      <c r="I10" s="26">
        <f>SUBTOTAL(1,I9:I9)</f>
        <v>299000</v>
      </c>
    </row>
    <row r="11" spans="1:9" outlineLevel="1">
      <c r="A11" s="42" t="s">
        <v>275</v>
      </c>
      <c r="B11" s="11"/>
      <c r="C11" s="11"/>
      <c r="D11" s="11"/>
      <c r="E11" s="26">
        <f>SUBTOTAL(9,E9:E9)</f>
        <v>16</v>
      </c>
      <c r="F11" s="11"/>
      <c r="G11" s="26"/>
      <c r="H11" s="26"/>
      <c r="I11" s="26"/>
    </row>
    <row r="12" spans="1:9" outlineLevel="3">
      <c r="A12" s="25">
        <v>44584</v>
      </c>
      <c r="B12" s="11">
        <v>3229</v>
      </c>
      <c r="C12" s="11" t="s">
        <v>145</v>
      </c>
      <c r="D12" s="11" t="s">
        <v>140</v>
      </c>
      <c r="E12" s="26">
        <v>12</v>
      </c>
      <c r="F12" s="11" t="s">
        <v>149</v>
      </c>
      <c r="G12" s="26">
        <v>18382</v>
      </c>
      <c r="H12" s="26">
        <v>17675</v>
      </c>
      <c r="I12" s="26">
        <v>212000</v>
      </c>
    </row>
    <row r="13" spans="1:9" outlineLevel="2">
      <c r="A13" s="42" t="s">
        <v>291</v>
      </c>
      <c r="B13" s="11"/>
      <c r="C13" s="11"/>
      <c r="D13" s="11"/>
      <c r="E13" s="26"/>
      <c r="F13" s="11"/>
      <c r="G13" s="26"/>
      <c r="H13" s="26"/>
      <c r="I13" s="26">
        <f>SUBTOTAL(1,I12:I12)</f>
        <v>212000</v>
      </c>
    </row>
    <row r="14" spans="1:9" outlineLevel="1">
      <c r="A14" s="42" t="s">
        <v>276</v>
      </c>
      <c r="B14" s="11"/>
      <c r="C14" s="11"/>
      <c r="D14" s="11"/>
      <c r="E14" s="26">
        <f>SUBTOTAL(9,E12:E12)</f>
        <v>12</v>
      </c>
      <c r="F14" s="11"/>
      <c r="G14" s="26"/>
      <c r="H14" s="26"/>
      <c r="I14" s="26"/>
    </row>
    <row r="15" spans="1:9" outlineLevel="3">
      <c r="A15" s="25">
        <v>44591</v>
      </c>
      <c r="B15" s="11">
        <v>5326</v>
      </c>
      <c r="C15" s="11" t="s">
        <v>145</v>
      </c>
      <c r="D15" s="11" t="s">
        <v>159</v>
      </c>
      <c r="E15" s="26">
        <v>13</v>
      </c>
      <c r="F15" s="11" t="s">
        <v>149</v>
      </c>
      <c r="G15" s="26">
        <v>24354.720000000001</v>
      </c>
      <c r="H15" s="26">
        <v>23418</v>
      </c>
      <c r="I15" s="26">
        <v>304000</v>
      </c>
    </row>
    <row r="16" spans="1:9" outlineLevel="2">
      <c r="A16" s="42" t="s">
        <v>292</v>
      </c>
      <c r="B16" s="11"/>
      <c r="C16" s="11"/>
      <c r="D16" s="11"/>
      <c r="E16" s="26"/>
      <c r="F16" s="11"/>
      <c r="G16" s="26"/>
      <c r="H16" s="26"/>
      <c r="I16" s="26">
        <f>SUBTOTAL(1,I15:I15)</f>
        <v>304000</v>
      </c>
    </row>
    <row r="17" spans="1:9" outlineLevel="1">
      <c r="A17" s="42" t="s">
        <v>277</v>
      </c>
      <c r="B17" s="11"/>
      <c r="C17" s="11"/>
      <c r="D17" s="11"/>
      <c r="E17" s="26">
        <f>SUBTOTAL(9,E15:E15)</f>
        <v>13</v>
      </c>
      <c r="F17" s="11"/>
      <c r="G17" s="26"/>
      <c r="H17" s="26"/>
      <c r="I17" s="26"/>
    </row>
    <row r="18" spans="1:9" outlineLevel="3">
      <c r="A18" s="25">
        <v>44567</v>
      </c>
      <c r="B18" s="11">
        <v>1126</v>
      </c>
      <c r="C18" s="11" t="s">
        <v>136</v>
      </c>
      <c r="D18" s="11" t="s">
        <v>137</v>
      </c>
      <c r="E18" s="26">
        <v>12</v>
      </c>
      <c r="F18" s="11" t="s">
        <v>135</v>
      </c>
      <c r="G18" s="26">
        <v>16834.48</v>
      </c>
      <c r="H18" s="26">
        <v>16187</v>
      </c>
      <c r="I18" s="26">
        <v>194000</v>
      </c>
    </row>
    <row r="19" spans="1:9" outlineLevel="2">
      <c r="A19" s="42" t="s">
        <v>293</v>
      </c>
      <c r="B19" s="11"/>
      <c r="C19" s="11"/>
      <c r="D19" s="11"/>
      <c r="E19" s="26"/>
      <c r="F19" s="11"/>
      <c r="G19" s="26"/>
      <c r="H19" s="26"/>
      <c r="I19" s="26">
        <f>SUBTOTAL(1,I18:I18)</f>
        <v>194000</v>
      </c>
    </row>
    <row r="20" spans="1:9" outlineLevel="1">
      <c r="A20" s="42" t="s">
        <v>278</v>
      </c>
      <c r="B20" s="11"/>
      <c r="C20" s="11"/>
      <c r="D20" s="11"/>
      <c r="E20" s="26">
        <f>SUBTOTAL(9,E18:E18)</f>
        <v>12</v>
      </c>
      <c r="F20" s="11"/>
      <c r="G20" s="26"/>
      <c r="H20" s="26"/>
      <c r="I20" s="26"/>
    </row>
    <row r="21" spans="1:9" outlineLevel="3">
      <c r="A21" s="25">
        <v>44569</v>
      </c>
      <c r="B21" s="11">
        <v>1355</v>
      </c>
      <c r="C21" s="11" t="s">
        <v>136</v>
      </c>
      <c r="D21" s="11" t="s">
        <v>138</v>
      </c>
      <c r="E21" s="26">
        <v>12</v>
      </c>
      <c r="F21" s="11" t="s">
        <v>139</v>
      </c>
      <c r="G21" s="26">
        <v>16424.72</v>
      </c>
      <c r="H21" s="26">
        <v>15793</v>
      </c>
      <c r="I21" s="26">
        <v>190000</v>
      </c>
    </row>
    <row r="22" spans="1:9" outlineLevel="3">
      <c r="A22" s="25">
        <v>44569</v>
      </c>
      <c r="B22" s="11">
        <v>1355</v>
      </c>
      <c r="C22" s="11" t="s">
        <v>136</v>
      </c>
      <c r="D22" s="11" t="s">
        <v>138</v>
      </c>
      <c r="E22" s="26">
        <v>10</v>
      </c>
      <c r="F22" s="11" t="s">
        <v>139</v>
      </c>
      <c r="G22" s="26">
        <v>16424.72</v>
      </c>
      <c r="H22" s="26">
        <v>15793</v>
      </c>
      <c r="I22" s="26">
        <v>158000</v>
      </c>
    </row>
    <row r="23" spans="1:9" outlineLevel="2">
      <c r="A23" s="42" t="s">
        <v>294</v>
      </c>
      <c r="B23" s="11"/>
      <c r="C23" s="11"/>
      <c r="D23" s="11"/>
      <c r="E23" s="26"/>
      <c r="F23" s="11"/>
      <c r="G23" s="26"/>
      <c r="H23" s="26"/>
      <c r="I23" s="26">
        <f>SUBTOTAL(1,I21:I22)</f>
        <v>174000</v>
      </c>
    </row>
    <row r="24" spans="1:9" outlineLevel="1">
      <c r="A24" s="42" t="s">
        <v>279</v>
      </c>
      <c r="B24" s="11"/>
      <c r="C24" s="11"/>
      <c r="D24" s="11"/>
      <c r="E24" s="26">
        <f>SUBTOTAL(9,E21:E22)</f>
        <v>22</v>
      </c>
      <c r="F24" s="11"/>
      <c r="G24" s="26"/>
      <c r="H24" s="26"/>
      <c r="I24" s="26"/>
    </row>
    <row r="25" spans="1:9" outlineLevel="3">
      <c r="A25" s="25">
        <v>44571</v>
      </c>
      <c r="B25" s="11">
        <v>1343</v>
      </c>
      <c r="C25" s="11" t="s">
        <v>136</v>
      </c>
      <c r="D25" s="11" t="s">
        <v>142</v>
      </c>
      <c r="E25" s="26">
        <v>8</v>
      </c>
      <c r="F25" s="11" t="s">
        <v>143</v>
      </c>
      <c r="G25" s="26">
        <v>16424.72</v>
      </c>
      <c r="H25" s="26">
        <v>15793</v>
      </c>
      <c r="I25" s="26">
        <v>126000</v>
      </c>
    </row>
    <row r="26" spans="1:9" outlineLevel="3">
      <c r="A26" s="25">
        <v>44571</v>
      </c>
      <c r="B26" s="11">
        <v>1343</v>
      </c>
      <c r="C26" s="11" t="s">
        <v>136</v>
      </c>
      <c r="D26" s="11" t="s">
        <v>142</v>
      </c>
      <c r="E26" s="26">
        <v>18</v>
      </c>
      <c r="F26" s="11" t="s">
        <v>144</v>
      </c>
      <c r="G26" s="26">
        <v>16424.72</v>
      </c>
      <c r="H26" s="26">
        <v>15793</v>
      </c>
      <c r="I26" s="26">
        <v>284000</v>
      </c>
    </row>
    <row r="27" spans="1:9" outlineLevel="2">
      <c r="A27" s="42" t="s">
        <v>295</v>
      </c>
      <c r="B27" s="11"/>
      <c r="C27" s="11"/>
      <c r="D27" s="11"/>
      <c r="E27" s="26"/>
      <c r="F27" s="11"/>
      <c r="G27" s="26"/>
      <c r="H27" s="26"/>
      <c r="I27" s="26">
        <f>SUBTOTAL(1,I25:I26)</f>
        <v>205000</v>
      </c>
    </row>
    <row r="28" spans="1:9" outlineLevel="1">
      <c r="A28" s="42" t="s">
        <v>280</v>
      </c>
      <c r="B28" s="11"/>
      <c r="C28" s="11"/>
      <c r="D28" s="11"/>
      <c r="E28" s="26">
        <f>SUBTOTAL(9,E25:E26)</f>
        <v>26</v>
      </c>
      <c r="F28" s="11"/>
      <c r="G28" s="26"/>
      <c r="H28" s="26"/>
      <c r="I28" s="26"/>
    </row>
    <row r="29" spans="1:9" outlineLevel="3">
      <c r="A29" s="25">
        <v>44572</v>
      </c>
      <c r="B29" s="11">
        <v>1667</v>
      </c>
      <c r="C29" s="11" t="s">
        <v>136</v>
      </c>
      <c r="D29" s="11" t="s">
        <v>147</v>
      </c>
      <c r="E29" s="26">
        <v>24</v>
      </c>
      <c r="F29" s="11" t="s">
        <v>148</v>
      </c>
      <c r="G29" s="26">
        <v>18382</v>
      </c>
      <c r="H29" s="26">
        <v>17675</v>
      </c>
      <c r="I29" s="26">
        <v>424000</v>
      </c>
    </row>
    <row r="30" spans="1:9" outlineLevel="2">
      <c r="A30" s="42" t="s">
        <v>289</v>
      </c>
      <c r="B30" s="11"/>
      <c r="C30" s="11"/>
      <c r="D30" s="11"/>
      <c r="E30" s="26"/>
      <c r="F30" s="11"/>
      <c r="G30" s="26"/>
      <c r="H30" s="26"/>
      <c r="I30" s="26">
        <f>SUBTOTAL(1,I29:I29)</f>
        <v>424000</v>
      </c>
    </row>
    <row r="31" spans="1:9" outlineLevel="1">
      <c r="A31" s="42" t="s">
        <v>274</v>
      </c>
      <c r="B31" s="11"/>
      <c r="C31" s="11"/>
      <c r="D31" s="11"/>
      <c r="E31" s="26">
        <f>SUBTOTAL(9,E29:E29)</f>
        <v>24</v>
      </c>
      <c r="F31" s="11"/>
      <c r="G31" s="26"/>
      <c r="H31" s="26"/>
      <c r="I31" s="26"/>
    </row>
    <row r="32" spans="1:9" outlineLevel="3">
      <c r="A32" s="25">
        <v>44577</v>
      </c>
      <c r="B32" s="11">
        <v>1919</v>
      </c>
      <c r="C32" s="11" t="s">
        <v>136</v>
      </c>
      <c r="D32" s="11" t="s">
        <v>151</v>
      </c>
      <c r="E32" s="26">
        <v>20</v>
      </c>
      <c r="F32" s="11" t="s">
        <v>152</v>
      </c>
      <c r="G32" s="26">
        <v>18556.72</v>
      </c>
      <c r="H32" s="26">
        <v>17843</v>
      </c>
      <c r="I32" s="26">
        <v>357000</v>
      </c>
    </row>
    <row r="33" spans="1:9" outlineLevel="2">
      <c r="A33" s="42" t="s">
        <v>296</v>
      </c>
      <c r="B33" s="11"/>
      <c r="C33" s="11"/>
      <c r="D33" s="11"/>
      <c r="E33" s="26"/>
      <c r="F33" s="11"/>
      <c r="G33" s="26"/>
      <c r="H33" s="26"/>
      <c r="I33" s="26">
        <f>SUBTOTAL(1,I32:I32)</f>
        <v>357000</v>
      </c>
    </row>
    <row r="34" spans="1:9" outlineLevel="1">
      <c r="A34" s="42" t="s">
        <v>281</v>
      </c>
      <c r="B34" s="11"/>
      <c r="C34" s="11"/>
      <c r="D34" s="11"/>
      <c r="E34" s="26">
        <f>SUBTOTAL(9,E32:E32)</f>
        <v>20</v>
      </c>
      <c r="F34" s="11"/>
      <c r="G34" s="26"/>
      <c r="H34" s="26"/>
      <c r="I34" s="26"/>
    </row>
    <row r="35" spans="1:9" outlineLevel="3">
      <c r="A35" s="25">
        <v>44580</v>
      </c>
      <c r="B35" s="11">
        <v>2731</v>
      </c>
      <c r="C35" s="11" t="s">
        <v>136</v>
      </c>
      <c r="D35" s="11" t="s">
        <v>140</v>
      </c>
      <c r="E35" s="26">
        <v>24</v>
      </c>
      <c r="F35" s="11" t="s">
        <v>143</v>
      </c>
      <c r="G35" s="26">
        <v>18382</v>
      </c>
      <c r="H35" s="26">
        <v>17675</v>
      </c>
      <c r="I35" s="26">
        <v>424000</v>
      </c>
    </row>
    <row r="36" spans="1:9" outlineLevel="3">
      <c r="A36" s="25">
        <v>44580</v>
      </c>
      <c r="B36" s="11">
        <v>3005</v>
      </c>
      <c r="C36" s="11" t="s">
        <v>136</v>
      </c>
      <c r="D36" s="11" t="s">
        <v>153</v>
      </c>
      <c r="E36" s="26">
        <v>15</v>
      </c>
      <c r="F36" s="11" t="s">
        <v>154</v>
      </c>
      <c r="G36" s="26">
        <v>19074.64</v>
      </c>
      <c r="H36" s="26">
        <v>18341</v>
      </c>
      <c r="I36" s="26">
        <v>275000</v>
      </c>
    </row>
    <row r="37" spans="1:9" outlineLevel="2">
      <c r="A37" s="42" t="s">
        <v>297</v>
      </c>
      <c r="B37" s="11"/>
      <c r="C37" s="11"/>
      <c r="D37" s="11"/>
      <c r="E37" s="26"/>
      <c r="F37" s="11"/>
      <c r="G37" s="26"/>
      <c r="H37" s="26"/>
      <c r="I37" s="26">
        <f>SUBTOTAL(1,I35:I36)</f>
        <v>349500</v>
      </c>
    </row>
    <row r="38" spans="1:9" outlineLevel="1">
      <c r="A38" s="42" t="s">
        <v>282</v>
      </c>
      <c r="B38" s="11"/>
      <c r="C38" s="11"/>
      <c r="D38" s="11"/>
      <c r="E38" s="26">
        <f>SUBTOTAL(9,E35:E36)</f>
        <v>39</v>
      </c>
      <c r="F38" s="11"/>
      <c r="G38" s="26"/>
      <c r="H38" s="26"/>
      <c r="I38" s="26"/>
    </row>
    <row r="39" spans="1:9" outlineLevel="3">
      <c r="A39" s="25">
        <v>44583</v>
      </c>
      <c r="B39" s="11">
        <v>3130</v>
      </c>
      <c r="C39" s="11" t="s">
        <v>136</v>
      </c>
      <c r="D39" s="11" t="s">
        <v>155</v>
      </c>
      <c r="E39" s="26">
        <v>24</v>
      </c>
      <c r="F39" s="11" t="s">
        <v>139</v>
      </c>
      <c r="G39" s="26">
        <v>23658.959999999999</v>
      </c>
      <c r="H39" s="26">
        <v>22749</v>
      </c>
      <c r="I39" s="26">
        <v>546000</v>
      </c>
    </row>
    <row r="40" spans="1:9" outlineLevel="2">
      <c r="A40" s="42" t="s">
        <v>298</v>
      </c>
      <c r="B40" s="11"/>
      <c r="C40" s="11"/>
      <c r="D40" s="11"/>
      <c r="E40" s="26"/>
      <c r="F40" s="11"/>
      <c r="G40" s="26"/>
      <c r="H40" s="26"/>
      <c r="I40" s="26">
        <f>SUBTOTAL(1,I39:I39)</f>
        <v>546000</v>
      </c>
    </row>
    <row r="41" spans="1:9" outlineLevel="1">
      <c r="A41" s="42" t="s">
        <v>283</v>
      </c>
      <c r="B41" s="11"/>
      <c r="C41" s="11"/>
      <c r="D41" s="11"/>
      <c r="E41" s="26">
        <f>SUBTOTAL(9,E39:E39)</f>
        <v>24</v>
      </c>
      <c r="F41" s="11"/>
      <c r="G41" s="26"/>
      <c r="H41" s="26"/>
      <c r="I41" s="26"/>
    </row>
    <row r="42" spans="1:9" outlineLevel="3">
      <c r="A42" s="25">
        <v>44584</v>
      </c>
      <c r="B42" s="11">
        <v>3629</v>
      </c>
      <c r="C42" s="11" t="s">
        <v>136</v>
      </c>
      <c r="D42" s="11" t="s">
        <v>156</v>
      </c>
      <c r="E42" s="26">
        <v>12</v>
      </c>
      <c r="F42" s="11" t="s">
        <v>139</v>
      </c>
      <c r="G42" s="26">
        <v>18382</v>
      </c>
      <c r="H42" s="26">
        <v>17675</v>
      </c>
      <c r="I42" s="26">
        <v>212000</v>
      </c>
    </row>
    <row r="43" spans="1:9" outlineLevel="2">
      <c r="A43" s="42" t="s">
        <v>291</v>
      </c>
      <c r="B43" s="11"/>
      <c r="C43" s="11"/>
      <c r="D43" s="11"/>
      <c r="E43" s="26"/>
      <c r="F43" s="11"/>
      <c r="G43" s="26"/>
      <c r="H43" s="26"/>
      <c r="I43" s="26">
        <f>SUBTOTAL(1,I42:I42)</f>
        <v>212000</v>
      </c>
    </row>
    <row r="44" spans="1:9" outlineLevel="1">
      <c r="A44" s="42" t="s">
        <v>276</v>
      </c>
      <c r="B44" s="11"/>
      <c r="C44" s="11"/>
      <c r="D44" s="11"/>
      <c r="E44" s="26">
        <f>SUBTOTAL(9,E42:E42)</f>
        <v>12</v>
      </c>
      <c r="F44" s="11"/>
      <c r="G44" s="26"/>
      <c r="H44" s="26"/>
      <c r="I44" s="26"/>
    </row>
    <row r="45" spans="1:9" outlineLevel="3">
      <c r="A45" s="25">
        <v>44588</v>
      </c>
      <c r="B45" s="11">
        <v>4306</v>
      </c>
      <c r="C45" s="11" t="s">
        <v>136</v>
      </c>
      <c r="D45" s="11" t="s">
        <v>140</v>
      </c>
      <c r="E45" s="26">
        <v>24</v>
      </c>
      <c r="F45" s="11" t="s">
        <v>144</v>
      </c>
      <c r="G45" s="26">
        <v>18382</v>
      </c>
      <c r="H45" s="26">
        <v>17675</v>
      </c>
      <c r="I45" s="26">
        <v>424000</v>
      </c>
    </row>
    <row r="46" spans="1:9" outlineLevel="2">
      <c r="A46" s="42" t="s">
        <v>299</v>
      </c>
      <c r="B46" s="11"/>
      <c r="C46" s="11"/>
      <c r="D46" s="11"/>
      <c r="E46" s="26"/>
      <c r="F46" s="11"/>
      <c r="G46" s="26"/>
      <c r="H46" s="26"/>
      <c r="I46" s="26">
        <f>SUBTOTAL(1,I45:I45)</f>
        <v>424000</v>
      </c>
    </row>
    <row r="47" spans="1:9" outlineLevel="1">
      <c r="A47" s="42" t="s">
        <v>284</v>
      </c>
      <c r="B47" s="11"/>
      <c r="C47" s="11"/>
      <c r="D47" s="11"/>
      <c r="E47" s="26">
        <f>SUBTOTAL(9,E45:E45)</f>
        <v>24</v>
      </c>
      <c r="F47" s="11"/>
      <c r="G47" s="26"/>
      <c r="H47" s="26"/>
      <c r="I47" s="26"/>
    </row>
    <row r="48" spans="1:9" outlineLevel="3">
      <c r="A48" s="25">
        <v>44589</v>
      </c>
      <c r="B48" s="11">
        <v>5301</v>
      </c>
      <c r="C48" s="11" t="s">
        <v>136</v>
      </c>
      <c r="D48" s="11" t="s">
        <v>140</v>
      </c>
      <c r="E48" s="26">
        <v>16</v>
      </c>
      <c r="F48" s="11" t="s">
        <v>152</v>
      </c>
      <c r="G48" s="26">
        <v>19893.12</v>
      </c>
      <c r="H48" s="26">
        <v>19128</v>
      </c>
      <c r="I48" s="26">
        <v>306000</v>
      </c>
    </row>
    <row r="49" spans="1:9" outlineLevel="2">
      <c r="A49" s="42" t="s">
        <v>300</v>
      </c>
      <c r="B49" s="11"/>
      <c r="C49" s="11"/>
      <c r="D49" s="11"/>
      <c r="E49" s="26"/>
      <c r="F49" s="11"/>
      <c r="G49" s="26"/>
      <c r="H49" s="26"/>
      <c r="I49" s="26">
        <f>SUBTOTAL(1,I48:I48)</f>
        <v>306000</v>
      </c>
    </row>
    <row r="50" spans="1:9" outlineLevel="1">
      <c r="A50" s="42" t="s">
        <v>285</v>
      </c>
      <c r="B50" s="11"/>
      <c r="C50" s="11"/>
      <c r="D50" s="11"/>
      <c r="E50" s="26">
        <f>SUBTOTAL(9,E48:E48)</f>
        <v>16</v>
      </c>
      <c r="F50" s="11"/>
      <c r="G50" s="26"/>
      <c r="H50" s="26"/>
      <c r="I50" s="26"/>
    </row>
    <row r="51" spans="1:9" outlineLevel="3">
      <c r="A51" s="25">
        <v>44567</v>
      </c>
      <c r="B51" s="11">
        <v>1035</v>
      </c>
      <c r="C51" s="11" t="s">
        <v>133</v>
      </c>
      <c r="D51" s="11" t="s">
        <v>134</v>
      </c>
      <c r="E51" s="26">
        <v>13</v>
      </c>
      <c r="F51" s="11" t="s">
        <v>135</v>
      </c>
      <c r="G51" s="26">
        <v>27225.119999999999</v>
      </c>
      <c r="H51" s="26">
        <v>26178</v>
      </c>
      <c r="I51" s="26">
        <v>340000</v>
      </c>
    </row>
    <row r="52" spans="1:9" outlineLevel="2">
      <c r="A52" s="42" t="s">
        <v>293</v>
      </c>
      <c r="B52" s="11"/>
      <c r="C52" s="11"/>
      <c r="D52" s="11"/>
      <c r="E52" s="26"/>
      <c r="F52" s="11"/>
      <c r="G52" s="26"/>
      <c r="H52" s="26"/>
      <c r="I52" s="26">
        <f>SUBTOTAL(1,I51:I51)</f>
        <v>340000</v>
      </c>
    </row>
    <row r="53" spans="1:9" outlineLevel="1">
      <c r="A53" s="42" t="s">
        <v>278</v>
      </c>
      <c r="B53" s="11"/>
      <c r="C53" s="11"/>
      <c r="D53" s="11"/>
      <c r="E53" s="26">
        <f>SUBTOTAL(9,E51:E51)</f>
        <v>13</v>
      </c>
      <c r="F53" s="11"/>
      <c r="G53" s="26"/>
      <c r="H53" s="26"/>
      <c r="I53" s="26"/>
    </row>
    <row r="54" spans="1:9" outlineLevel="3">
      <c r="A54" s="25">
        <v>44570</v>
      </c>
      <c r="B54" s="11">
        <v>1336</v>
      </c>
      <c r="C54" s="11" t="s">
        <v>133</v>
      </c>
      <c r="D54" s="11" t="s">
        <v>140</v>
      </c>
      <c r="E54" s="26">
        <v>12</v>
      </c>
      <c r="F54" s="11" t="s">
        <v>141</v>
      </c>
      <c r="G54" s="26">
        <v>28115.360000000001</v>
      </c>
      <c r="H54" s="26">
        <v>27034</v>
      </c>
      <c r="I54" s="26">
        <v>324000</v>
      </c>
    </row>
    <row r="55" spans="1:9" outlineLevel="2">
      <c r="A55" s="42" t="s">
        <v>301</v>
      </c>
      <c r="B55" s="11"/>
      <c r="C55" s="11"/>
      <c r="D55" s="11"/>
      <c r="E55" s="26"/>
      <c r="F55" s="11"/>
      <c r="G55" s="26"/>
      <c r="H55" s="26"/>
      <c r="I55" s="26">
        <f>SUBTOTAL(1,I54:I54)</f>
        <v>324000</v>
      </c>
    </row>
    <row r="56" spans="1:9" outlineLevel="1">
      <c r="A56" s="42" t="s">
        <v>286</v>
      </c>
      <c r="B56" s="11"/>
      <c r="C56" s="11"/>
      <c r="D56" s="11"/>
      <c r="E56" s="26">
        <f>SUBTOTAL(9,E54:E54)</f>
        <v>12</v>
      </c>
      <c r="F56" s="11"/>
      <c r="G56" s="26"/>
      <c r="H56" s="26"/>
      <c r="I56" s="26"/>
    </row>
    <row r="57" spans="1:9" outlineLevel="3">
      <c r="A57" s="25">
        <v>44587</v>
      </c>
      <c r="B57" s="11">
        <v>4009</v>
      </c>
      <c r="C57" s="11" t="s">
        <v>133</v>
      </c>
      <c r="D57" s="11" t="s">
        <v>157</v>
      </c>
      <c r="E57" s="26">
        <v>12</v>
      </c>
      <c r="F57" s="11" t="s">
        <v>135</v>
      </c>
      <c r="G57" s="26">
        <v>19152.64</v>
      </c>
      <c r="H57" s="26">
        <v>18416</v>
      </c>
      <c r="I57" s="26">
        <v>221000</v>
      </c>
    </row>
    <row r="58" spans="1:9" outlineLevel="2">
      <c r="A58" s="42" t="s">
        <v>302</v>
      </c>
      <c r="B58" s="11"/>
      <c r="C58" s="11"/>
      <c r="D58" s="11"/>
      <c r="E58" s="26"/>
      <c r="F58" s="11"/>
      <c r="G58" s="26"/>
      <c r="H58" s="26"/>
      <c r="I58" s="26">
        <f>SUBTOTAL(1,I57:I57)</f>
        <v>221000</v>
      </c>
    </row>
    <row r="59" spans="1:9" outlineLevel="1">
      <c r="A59" s="42" t="s">
        <v>287</v>
      </c>
      <c r="B59" s="11"/>
      <c r="C59" s="11"/>
      <c r="D59" s="11"/>
      <c r="E59" s="26">
        <f>SUBTOTAL(9,E57:E57)</f>
        <v>12</v>
      </c>
      <c r="F59" s="11"/>
      <c r="G59" s="26"/>
      <c r="H59" s="26"/>
      <c r="I59" s="26"/>
    </row>
    <row r="60" spans="1:9" outlineLevel="3">
      <c r="A60" s="25">
        <v>44588</v>
      </c>
      <c r="B60" s="11">
        <v>5000</v>
      </c>
      <c r="C60" s="11" t="s">
        <v>133</v>
      </c>
      <c r="D60" s="11" t="s">
        <v>158</v>
      </c>
      <c r="E60" s="26">
        <v>5</v>
      </c>
      <c r="F60" s="11" t="s">
        <v>141</v>
      </c>
      <c r="G60" s="26">
        <v>43560</v>
      </c>
      <c r="H60" s="26">
        <v>41817.599999999999</v>
      </c>
      <c r="I60" s="26">
        <v>209000</v>
      </c>
    </row>
    <row r="61" spans="1:9" outlineLevel="2">
      <c r="A61" s="42" t="s">
        <v>299</v>
      </c>
      <c r="B61" s="11"/>
      <c r="C61" s="11"/>
      <c r="D61" s="11"/>
      <c r="E61" s="26"/>
      <c r="F61" s="11"/>
      <c r="G61" s="26"/>
      <c r="H61" s="26"/>
      <c r="I61" s="26">
        <f>SUBTOTAL(1,I60:I60)</f>
        <v>209000</v>
      </c>
    </row>
    <row r="62" spans="1:9" outlineLevel="1">
      <c r="A62" s="42" t="s">
        <v>284</v>
      </c>
      <c r="B62" s="11"/>
      <c r="C62" s="11"/>
      <c r="D62" s="11"/>
      <c r="E62" s="26">
        <f>SUBTOTAL(9,E60:E60)</f>
        <v>5</v>
      </c>
      <c r="F62" s="11"/>
      <c r="G62" s="26"/>
      <c r="H62" s="26"/>
      <c r="I62" s="26"/>
    </row>
    <row r="63" spans="1:9" outlineLevel="3">
      <c r="A63" s="25">
        <v>44589</v>
      </c>
      <c r="B63" s="11">
        <v>5326</v>
      </c>
      <c r="C63" s="11" t="s">
        <v>133</v>
      </c>
      <c r="D63" s="11" t="s">
        <v>157</v>
      </c>
      <c r="E63" s="26">
        <v>8</v>
      </c>
      <c r="F63" s="11" t="s">
        <v>135</v>
      </c>
      <c r="G63" s="26">
        <v>24354.720000000001</v>
      </c>
      <c r="H63" s="26">
        <v>23418</v>
      </c>
      <c r="I63" s="26">
        <v>187000</v>
      </c>
    </row>
    <row r="64" spans="1:9" outlineLevel="2">
      <c r="A64" s="42" t="s">
        <v>300</v>
      </c>
      <c r="B64" s="11"/>
      <c r="C64" s="11"/>
      <c r="D64" s="11"/>
      <c r="E64" s="26"/>
      <c r="F64" s="11"/>
      <c r="G64" s="26"/>
      <c r="H64" s="26"/>
      <c r="I64" s="26">
        <f>SUBTOTAL(1,I63:I63)</f>
        <v>187000</v>
      </c>
    </row>
    <row r="65" spans="1:9" outlineLevel="1">
      <c r="A65" s="42" t="s">
        <v>285</v>
      </c>
      <c r="B65" s="11"/>
      <c r="C65" s="11"/>
      <c r="D65" s="11"/>
      <c r="E65" s="26">
        <f>SUBTOTAL(9,E63:E63)</f>
        <v>8</v>
      </c>
      <c r="F65" s="11"/>
      <c r="G65" s="26"/>
      <c r="H65" s="26"/>
      <c r="I65" s="26"/>
    </row>
    <row r="66" spans="1:9">
      <c r="A66" s="42" t="s">
        <v>303</v>
      </c>
      <c r="B66" s="11"/>
      <c r="C66" s="11"/>
      <c r="D66" s="11"/>
      <c r="E66" s="26"/>
      <c r="F66" s="11"/>
      <c r="G66" s="26"/>
      <c r="H66" s="26"/>
      <c r="I66" s="26">
        <f>SUBTOTAL(1,I5:I63)</f>
        <v>294652.17391304346</v>
      </c>
    </row>
    <row r="67" spans="1:9">
      <c r="A67" s="42" t="s">
        <v>288</v>
      </c>
      <c r="B67" s="11"/>
      <c r="C67" s="11"/>
      <c r="D67" s="11"/>
      <c r="E67" s="26">
        <f>SUBTOTAL(9,E5:E63)</f>
        <v>352</v>
      </c>
      <c r="F67" s="11"/>
      <c r="G67" s="26"/>
      <c r="H67" s="26"/>
      <c r="I67" s="26"/>
    </row>
  </sheetData>
  <sortState xmlns:xlrd2="http://schemas.microsoft.com/office/spreadsheetml/2017/richdata2" ref="A5:I63">
    <sortCondition ref="C5:C63"/>
  </sortState>
  <mergeCells count="1">
    <mergeCell ref="A2:I2"/>
  </mergeCells>
  <phoneticPr fontId="2" type="noConversion"/>
  <conditionalFormatting sqref="B5:B67">
    <cfRule type="expression" dxfId="0" priority="1" stopIfTrue="1">
      <formula>COUNTIF($C$6:$C$787,B5)&gt;1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81CE5-C616-495A-BC82-D5467E91A8ED}">
  <sheetPr codeName="Sheet6">
    <outlinePr summaryBelow="0"/>
  </sheetPr>
  <dimension ref="B1:F13"/>
  <sheetViews>
    <sheetView showGridLines="0" workbookViewId="0"/>
  </sheetViews>
  <sheetFormatPr defaultRowHeight="16.5" outlineLevelRow="1" outlineLevelCol="1"/>
  <cols>
    <col min="3" max="3" width="13" bestFit="1" customWidth="1"/>
    <col min="4" max="6" width="10.875" bestFit="1" customWidth="1" outlineLevel="1"/>
  </cols>
  <sheetData>
    <row r="1" spans="2:6" ht="17.25" thickBot="1"/>
    <row r="2" spans="2:6">
      <c r="B2" s="47" t="s">
        <v>311</v>
      </c>
      <c r="C2" s="48"/>
      <c r="D2" s="54"/>
      <c r="E2" s="54"/>
      <c r="F2" s="54"/>
    </row>
    <row r="3" spans="2:6" collapsed="1">
      <c r="B3" s="46"/>
      <c r="C3" s="46"/>
      <c r="D3" s="55" t="s">
        <v>313</v>
      </c>
      <c r="E3" s="55" t="s">
        <v>308</v>
      </c>
      <c r="F3" s="55" t="s">
        <v>310</v>
      </c>
    </row>
    <row r="4" spans="2:6" ht="54" hidden="1" outlineLevel="1">
      <c r="B4" s="50"/>
      <c r="C4" s="50"/>
      <c r="E4" s="58" t="s">
        <v>309</v>
      </c>
      <c r="F4" s="58" t="s">
        <v>309</v>
      </c>
    </row>
    <row r="5" spans="2:6">
      <c r="B5" s="51" t="s">
        <v>312</v>
      </c>
      <c r="C5" s="52"/>
      <c r="D5" s="49"/>
      <c r="E5" s="49"/>
      <c r="F5" s="49"/>
    </row>
    <row r="6" spans="2:6" outlineLevel="1">
      <c r="B6" s="50"/>
      <c r="C6" s="50" t="s">
        <v>304</v>
      </c>
      <c r="D6" s="43">
        <v>0.05</v>
      </c>
      <c r="E6" s="56">
        <v>0.06</v>
      </c>
      <c r="F6" s="56">
        <v>0.04</v>
      </c>
    </row>
    <row r="7" spans="2:6" outlineLevel="1">
      <c r="B7" s="50"/>
      <c r="C7" s="50" t="s">
        <v>305</v>
      </c>
      <c r="D7" s="44">
        <v>0.45</v>
      </c>
      <c r="E7" s="57">
        <v>0.35</v>
      </c>
      <c r="F7" s="57">
        <v>0.55000000000000004</v>
      </c>
    </row>
    <row r="8" spans="2:6" outlineLevel="1">
      <c r="B8" s="50"/>
      <c r="C8" s="50" t="s">
        <v>306</v>
      </c>
      <c r="D8" s="44">
        <v>0.1</v>
      </c>
      <c r="E8" s="57">
        <v>0.08</v>
      </c>
      <c r="F8" s="57">
        <v>0.12</v>
      </c>
    </row>
    <row r="9" spans="2:6">
      <c r="B9" s="51" t="s">
        <v>314</v>
      </c>
      <c r="C9" s="52"/>
      <c r="D9" s="49"/>
      <c r="E9" s="49"/>
      <c r="F9" s="49"/>
    </row>
    <row r="10" spans="2:6" ht="17.25" outlineLevel="1" thickBot="1">
      <c r="B10" s="53"/>
      <c r="C10" s="53" t="s">
        <v>307</v>
      </c>
      <c r="D10" s="45">
        <v>1864375</v>
      </c>
      <c r="E10" s="45">
        <v>2524420</v>
      </c>
      <c r="F10" s="45">
        <v>1216880</v>
      </c>
    </row>
    <row r="11" spans="2:6">
      <c r="B11" t="s">
        <v>315</v>
      </c>
    </row>
    <row r="12" spans="2:6">
      <c r="B12" t="s">
        <v>316</v>
      </c>
    </row>
    <row r="13" spans="2:6">
      <c r="B13" t="s">
        <v>317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G16"/>
  <sheetViews>
    <sheetView workbookViewId="0">
      <selection activeCell="G10" sqref="G10"/>
    </sheetView>
  </sheetViews>
  <sheetFormatPr defaultRowHeight="16.5"/>
  <cols>
    <col min="3" max="3" width="13.375" bestFit="1" customWidth="1"/>
    <col min="4" max="7" width="11.375" customWidth="1"/>
  </cols>
  <sheetData>
    <row r="1" spans="1:7">
      <c r="A1" s="1"/>
      <c r="B1" s="1"/>
      <c r="C1" s="1"/>
      <c r="D1" s="1"/>
      <c r="E1" s="1"/>
      <c r="F1" s="1"/>
      <c r="G1" s="1"/>
    </row>
    <row r="2" spans="1:7" ht="26.25">
      <c r="A2" s="1"/>
      <c r="B2" s="2" t="s">
        <v>160</v>
      </c>
      <c r="C2" s="1"/>
      <c r="D2" s="1"/>
      <c r="E2" s="1"/>
      <c r="F2" s="1"/>
      <c r="G2" s="1"/>
    </row>
    <row r="3" spans="1:7">
      <c r="A3" s="1"/>
      <c r="B3" s="1"/>
      <c r="C3" s="1"/>
      <c r="D3" s="1"/>
      <c r="E3" s="1"/>
      <c r="F3" s="1"/>
      <c r="G3" s="11" t="s">
        <v>161</v>
      </c>
    </row>
    <row r="4" spans="1:7">
      <c r="A4" s="1"/>
      <c r="B4" s="68" t="s">
        <v>162</v>
      </c>
      <c r="C4" s="68"/>
      <c r="D4" s="9" t="s">
        <v>174</v>
      </c>
      <c r="E4" s="9" t="s">
        <v>175</v>
      </c>
      <c r="F4" s="9" t="s">
        <v>176</v>
      </c>
      <c r="G4" s="9" t="s">
        <v>163</v>
      </c>
    </row>
    <row r="5" spans="1:7">
      <c r="A5" s="1"/>
      <c r="B5" s="60" t="s">
        <v>164</v>
      </c>
      <c r="C5" s="61"/>
      <c r="D5" s="10">
        <v>5000000</v>
      </c>
      <c r="E5" s="10">
        <f>D5*(1+$D$13)</f>
        <v>5250000</v>
      </c>
      <c r="F5" s="10">
        <f>E5*(1+$D$13)</f>
        <v>5512500</v>
      </c>
      <c r="G5" s="10">
        <f>AVERAGE(D5:F5)</f>
        <v>5254166.666666667</v>
      </c>
    </row>
    <row r="6" spans="1:7">
      <c r="A6" s="1"/>
      <c r="B6" s="68" t="s">
        <v>165</v>
      </c>
      <c r="C6" s="12" t="s">
        <v>166</v>
      </c>
      <c r="D6" s="10">
        <f>D5*$D$14</f>
        <v>2250000</v>
      </c>
      <c r="E6" s="10">
        <f>E5*$D$14</f>
        <v>2362500</v>
      </c>
      <c r="F6" s="10">
        <f>F5*$D$14</f>
        <v>2480625</v>
      </c>
      <c r="G6" s="10">
        <f>AVERAGE(D6:F6)</f>
        <v>2364375</v>
      </c>
    </row>
    <row r="7" spans="1:7">
      <c r="A7" s="1"/>
      <c r="B7" s="68"/>
      <c r="C7" s="12" t="s">
        <v>167</v>
      </c>
      <c r="D7" s="10">
        <v>500000</v>
      </c>
      <c r="E7" s="10">
        <v>500000</v>
      </c>
      <c r="F7" s="10">
        <v>500000</v>
      </c>
      <c r="G7" s="10">
        <f>AVERAGE(D7:F7)</f>
        <v>500000</v>
      </c>
    </row>
    <row r="8" spans="1:7">
      <c r="A8" s="1"/>
      <c r="B8" s="68"/>
      <c r="C8" s="12" t="s">
        <v>168</v>
      </c>
      <c r="D8" s="10">
        <f>D5*$D$15</f>
        <v>500000</v>
      </c>
      <c r="E8" s="10">
        <f>E5*$D$15</f>
        <v>525000</v>
      </c>
      <c r="F8" s="10">
        <f>F5*$D$15</f>
        <v>551250</v>
      </c>
      <c r="G8" s="10">
        <f>AVERAGE(D8:F8)</f>
        <v>525416.66666666663</v>
      </c>
    </row>
    <row r="9" spans="1:7">
      <c r="A9" s="1"/>
      <c r="B9" s="68"/>
      <c r="C9" s="12" t="s">
        <v>169</v>
      </c>
      <c r="D9" s="10">
        <f>SUM(D6:D8)</f>
        <v>3250000</v>
      </c>
      <c r="E9" s="10">
        <f>SUM(E6:E8)</f>
        <v>3387500</v>
      </c>
      <c r="F9" s="10">
        <f>SUM(F6:F8)</f>
        <v>3531875</v>
      </c>
      <c r="G9" s="10">
        <f>SUM(G6:G8)</f>
        <v>3389791.6666666665</v>
      </c>
    </row>
    <row r="10" spans="1:7">
      <c r="A10" s="1"/>
      <c r="B10" s="68" t="s">
        <v>170</v>
      </c>
      <c r="C10" s="68"/>
      <c r="D10" s="10">
        <f>D5-D9</f>
        <v>1750000</v>
      </c>
      <c r="E10" s="10">
        <f>E5-E9</f>
        <v>1862500</v>
      </c>
      <c r="F10" s="10">
        <f>F5-F9</f>
        <v>1980625</v>
      </c>
      <c r="G10" s="10">
        <f>G5-G9</f>
        <v>1864375.0000000005</v>
      </c>
    </row>
    <row r="11" spans="1:7">
      <c r="A11" s="1"/>
      <c r="B11" s="1"/>
      <c r="C11" s="1"/>
      <c r="D11" s="1"/>
      <c r="E11" s="1"/>
      <c r="F11" s="1"/>
      <c r="G11" s="1"/>
    </row>
    <row r="12" spans="1:7">
      <c r="A12" s="1"/>
      <c r="B12" s="1"/>
      <c r="C12" s="1"/>
      <c r="D12" s="1"/>
      <c r="E12" s="1"/>
      <c r="F12" s="1"/>
      <c r="G12" s="1"/>
    </row>
    <row r="13" spans="1:7">
      <c r="A13" s="1"/>
      <c r="B13" s="68" t="s">
        <v>171</v>
      </c>
      <c r="C13" s="68"/>
      <c r="D13" s="27">
        <v>0.05</v>
      </c>
      <c r="E13" s="1"/>
      <c r="F13" s="1"/>
      <c r="G13" s="1"/>
    </row>
    <row r="14" spans="1:7">
      <c r="A14" s="1"/>
      <c r="B14" s="68" t="s">
        <v>172</v>
      </c>
      <c r="C14" s="68"/>
      <c r="D14" s="14">
        <v>0.45</v>
      </c>
      <c r="E14" s="1"/>
      <c r="F14" s="1"/>
      <c r="G14" s="1"/>
    </row>
    <row r="15" spans="1:7">
      <c r="A15" s="1"/>
      <c r="B15" s="68" t="s">
        <v>173</v>
      </c>
      <c r="C15" s="68"/>
      <c r="D15" s="14">
        <v>0.1</v>
      </c>
      <c r="E15" s="1"/>
      <c r="F15" s="1"/>
      <c r="G15" s="1"/>
    </row>
    <row r="16" spans="1:7">
      <c r="A16" s="1"/>
      <c r="B16" s="1"/>
      <c r="C16" s="1"/>
      <c r="D16" s="1"/>
      <c r="E16" s="1"/>
      <c r="F16" s="1"/>
      <c r="G16" s="1"/>
    </row>
  </sheetData>
  <scenarios current="0" sqref="G10">
    <scenario name="이익증가" locked="1" count="3" user="sejong2021" comment="만든 사람 sejong2021 날짜 2022-09-27">
      <inputCells r="D13" val="0.06" numFmtId="178"/>
      <inputCells r="D14" val="0.35" numFmtId="9"/>
      <inputCells r="D15" val="0.08" numFmtId="9"/>
    </scenario>
    <scenario name="이익감소" locked="1" count="3" user="sejong2021" comment="만든 사람 sejong2021 날짜 2022-09-27">
      <inputCells r="D13" val="0.04" numFmtId="178"/>
      <inputCells r="D14" val="0.55" numFmtId="9"/>
      <inputCells r="D15" val="0.12" numFmtId="9"/>
    </scenario>
  </scenarios>
  <mergeCells count="7">
    <mergeCell ref="B15:C15"/>
    <mergeCell ref="B4:C4"/>
    <mergeCell ref="B5:C5"/>
    <mergeCell ref="B6:B9"/>
    <mergeCell ref="B10:C10"/>
    <mergeCell ref="B13:C13"/>
    <mergeCell ref="B14:C14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7"/>
  <sheetViews>
    <sheetView workbookViewId="0">
      <selection activeCell="I4" sqref="I4:I15"/>
    </sheetView>
  </sheetViews>
  <sheetFormatPr defaultRowHeight="16.5"/>
  <cols>
    <col min="4" max="4" width="10.75" bestFit="1" customWidth="1"/>
    <col min="6" max="6" width="9.625" bestFit="1" customWidth="1"/>
    <col min="9" max="9" width="10.75" bestFit="1" customWidth="1"/>
  </cols>
  <sheetData>
    <row r="1" spans="1:9">
      <c r="A1" s="1"/>
      <c r="B1" s="1"/>
      <c r="C1" s="1"/>
      <c r="D1" s="1"/>
      <c r="E1" s="1"/>
      <c r="F1" s="1"/>
      <c r="G1" s="1"/>
      <c r="H1" s="1"/>
      <c r="I1" s="1"/>
    </row>
    <row r="2" spans="1:9" ht="20.25">
      <c r="A2" s="1"/>
      <c r="B2" s="28" t="s">
        <v>177</v>
      </c>
      <c r="C2" s="1"/>
      <c r="D2" s="1"/>
      <c r="E2" s="1"/>
      <c r="F2" s="1"/>
      <c r="G2" s="1"/>
      <c r="H2" s="1"/>
      <c r="I2" s="1"/>
    </row>
    <row r="3" spans="1:9">
      <c r="A3" s="1"/>
      <c r="B3" s="1"/>
      <c r="C3" s="1"/>
      <c r="D3" s="1"/>
      <c r="E3" s="1"/>
      <c r="F3" s="1"/>
      <c r="G3" s="1"/>
      <c r="H3" s="1"/>
      <c r="I3" s="1"/>
    </row>
    <row r="4" spans="1:9">
      <c r="A4" s="1"/>
      <c r="B4" s="72" t="s">
        <v>178</v>
      </c>
      <c r="C4" s="72" t="s">
        <v>2</v>
      </c>
      <c r="D4" s="72" t="s">
        <v>47</v>
      </c>
      <c r="E4" s="72" t="s">
        <v>179</v>
      </c>
      <c r="F4" s="72"/>
      <c r="G4" s="72" t="s">
        <v>180</v>
      </c>
      <c r="H4" s="72"/>
      <c r="I4" s="74" t="s">
        <v>181</v>
      </c>
    </row>
    <row r="5" spans="1:9">
      <c r="A5" s="1"/>
      <c r="B5" s="73"/>
      <c r="C5" s="73"/>
      <c r="D5" s="73"/>
      <c r="E5" s="23" t="s">
        <v>182</v>
      </c>
      <c r="F5" s="23" t="s">
        <v>183</v>
      </c>
      <c r="G5" s="23" t="s">
        <v>184</v>
      </c>
      <c r="H5" s="23" t="s">
        <v>185</v>
      </c>
      <c r="I5" s="75"/>
    </row>
    <row r="6" spans="1:9">
      <c r="A6" s="1"/>
      <c r="B6" s="11" t="s">
        <v>186</v>
      </c>
      <c r="C6" s="11" t="s">
        <v>187</v>
      </c>
      <c r="D6" s="29">
        <v>1850000</v>
      </c>
      <c r="E6" s="30">
        <v>10</v>
      </c>
      <c r="F6" s="29">
        <f>D6/30/8*E6*150%</f>
        <v>115625</v>
      </c>
      <c r="G6" s="30">
        <v>2</v>
      </c>
      <c r="H6" s="29">
        <f>G6*100000</f>
        <v>200000</v>
      </c>
      <c r="I6" s="76">
        <f>D6+F6+H6</f>
        <v>2165625</v>
      </c>
    </row>
    <row r="7" spans="1:9">
      <c r="A7" s="1"/>
      <c r="B7" s="11" t="s">
        <v>188</v>
      </c>
      <c r="C7" s="11" t="s">
        <v>189</v>
      </c>
      <c r="D7" s="29">
        <v>1570000</v>
      </c>
      <c r="E7" s="30">
        <v>13</v>
      </c>
      <c r="F7" s="29">
        <f t="shared" ref="F7:F14" si="0">D7/30/8*E7*150%</f>
        <v>127562.5</v>
      </c>
      <c r="G7" s="30">
        <v>1</v>
      </c>
      <c r="H7" s="29">
        <f t="shared" ref="H7:H14" si="1">G7*100000</f>
        <v>100000</v>
      </c>
      <c r="I7" s="76">
        <f t="shared" ref="I7:I14" si="2">D7+F7+H7</f>
        <v>1797562.5</v>
      </c>
    </row>
    <row r="8" spans="1:9">
      <c r="A8" s="1"/>
      <c r="B8" s="11" t="s">
        <v>190</v>
      </c>
      <c r="C8" s="11" t="s">
        <v>191</v>
      </c>
      <c r="D8" s="29">
        <v>1330000</v>
      </c>
      <c r="E8" s="30">
        <v>15</v>
      </c>
      <c r="F8" s="29">
        <f t="shared" si="0"/>
        <v>124687.5</v>
      </c>
      <c r="G8" s="30">
        <v>2</v>
      </c>
      <c r="H8" s="29">
        <f t="shared" si="1"/>
        <v>200000</v>
      </c>
      <c r="I8" s="76">
        <f t="shared" si="2"/>
        <v>1654687.5</v>
      </c>
    </row>
    <row r="9" spans="1:9">
      <c r="A9" s="1"/>
      <c r="B9" s="11" t="s">
        <v>192</v>
      </c>
      <c r="C9" s="11" t="s">
        <v>193</v>
      </c>
      <c r="D9" s="29">
        <v>1420000</v>
      </c>
      <c r="E9" s="30">
        <v>20</v>
      </c>
      <c r="F9" s="29">
        <f t="shared" si="0"/>
        <v>177500</v>
      </c>
      <c r="G9" s="30">
        <v>2</v>
      </c>
      <c r="H9" s="29">
        <f t="shared" si="1"/>
        <v>200000</v>
      </c>
      <c r="I9" s="76">
        <f t="shared" si="2"/>
        <v>1797500</v>
      </c>
    </row>
    <row r="10" spans="1:9">
      <c r="A10" s="1"/>
      <c r="B10" s="11" t="s">
        <v>194</v>
      </c>
      <c r="C10" s="11" t="s">
        <v>195</v>
      </c>
      <c r="D10" s="29">
        <v>1100000</v>
      </c>
      <c r="E10" s="30">
        <v>15</v>
      </c>
      <c r="F10" s="29">
        <f t="shared" si="0"/>
        <v>103125</v>
      </c>
      <c r="G10" s="30">
        <v>0</v>
      </c>
      <c r="H10" s="29">
        <f t="shared" si="1"/>
        <v>0</v>
      </c>
      <c r="I10" s="76">
        <f t="shared" si="2"/>
        <v>1203125</v>
      </c>
    </row>
    <row r="11" spans="1:9">
      <c r="A11" s="1"/>
      <c r="B11" s="11" t="s">
        <v>196</v>
      </c>
      <c r="C11" s="11" t="s">
        <v>197</v>
      </c>
      <c r="D11" s="29">
        <v>1390000</v>
      </c>
      <c r="E11" s="30">
        <v>24</v>
      </c>
      <c r="F11" s="29">
        <f t="shared" si="0"/>
        <v>208500</v>
      </c>
      <c r="G11" s="30">
        <v>1</v>
      </c>
      <c r="H11" s="29">
        <f t="shared" si="1"/>
        <v>100000</v>
      </c>
      <c r="I11" s="76">
        <f t="shared" si="2"/>
        <v>1698500</v>
      </c>
    </row>
    <row r="12" spans="1:9">
      <c r="A12" s="1"/>
      <c r="B12" s="11" t="s">
        <v>198</v>
      </c>
      <c r="C12" s="11" t="s">
        <v>199</v>
      </c>
      <c r="D12" s="29">
        <v>1240000</v>
      </c>
      <c r="E12" s="30">
        <v>27</v>
      </c>
      <c r="F12" s="29">
        <f t="shared" si="0"/>
        <v>209250</v>
      </c>
      <c r="G12" s="30">
        <v>3</v>
      </c>
      <c r="H12" s="29">
        <f t="shared" si="1"/>
        <v>300000</v>
      </c>
      <c r="I12" s="76">
        <f t="shared" si="2"/>
        <v>1749250</v>
      </c>
    </row>
    <row r="13" spans="1:9">
      <c r="A13" s="1"/>
      <c r="B13" s="11" t="s">
        <v>200</v>
      </c>
      <c r="C13" s="11" t="s">
        <v>201</v>
      </c>
      <c r="D13" s="29">
        <v>1480000</v>
      </c>
      <c r="E13" s="30">
        <v>15</v>
      </c>
      <c r="F13" s="29">
        <f t="shared" si="0"/>
        <v>138750</v>
      </c>
      <c r="G13" s="30">
        <v>2</v>
      </c>
      <c r="H13" s="29">
        <f t="shared" si="1"/>
        <v>200000</v>
      </c>
      <c r="I13" s="76">
        <f t="shared" si="2"/>
        <v>1818750</v>
      </c>
    </row>
    <row r="14" spans="1:9">
      <c r="A14" s="1"/>
      <c r="B14" s="11" t="s">
        <v>202</v>
      </c>
      <c r="C14" s="11" t="s">
        <v>203</v>
      </c>
      <c r="D14" s="29">
        <v>1350000</v>
      </c>
      <c r="E14" s="30">
        <v>19</v>
      </c>
      <c r="F14" s="29">
        <f t="shared" si="0"/>
        <v>160312.5</v>
      </c>
      <c r="G14" s="30">
        <v>0</v>
      </c>
      <c r="H14" s="29">
        <f t="shared" si="1"/>
        <v>0</v>
      </c>
      <c r="I14" s="76">
        <f t="shared" si="2"/>
        <v>1510312.5</v>
      </c>
    </row>
    <row r="15" spans="1:9">
      <c r="A15" s="1"/>
      <c r="B15" s="23" t="s">
        <v>204</v>
      </c>
      <c r="C15" s="31"/>
      <c r="D15" s="32">
        <f t="shared" ref="D15:I15" si="3">SUM(D6:D14)</f>
        <v>12730000</v>
      </c>
      <c r="E15" s="33">
        <f t="shared" si="3"/>
        <v>158</v>
      </c>
      <c r="F15" s="32">
        <f t="shared" si="3"/>
        <v>1365312.5</v>
      </c>
      <c r="G15" s="33">
        <f t="shared" si="3"/>
        <v>13</v>
      </c>
      <c r="H15" s="32">
        <f t="shared" si="3"/>
        <v>1300000</v>
      </c>
      <c r="I15" s="77">
        <f t="shared" si="3"/>
        <v>15395312.5</v>
      </c>
    </row>
    <row r="16" spans="1:9">
      <c r="A16" s="1"/>
      <c r="B16" s="1"/>
      <c r="C16" s="1"/>
      <c r="D16" s="1"/>
      <c r="E16" s="1"/>
      <c r="F16" s="1"/>
      <c r="G16" s="1"/>
      <c r="H16" s="1"/>
      <c r="I16" s="1"/>
    </row>
    <row r="17" spans="1:9">
      <c r="A17" s="1"/>
      <c r="B17" s="1"/>
      <c r="C17" s="1"/>
      <c r="D17" s="1"/>
      <c r="E17" s="1"/>
      <c r="F17" s="1"/>
      <c r="G17" s="1"/>
      <c r="H17" s="1"/>
      <c r="I17" s="1"/>
    </row>
  </sheetData>
  <mergeCells count="6">
    <mergeCell ref="I4:I5"/>
    <mergeCell ref="B4:B5"/>
    <mergeCell ref="C4:C5"/>
    <mergeCell ref="D4:D5"/>
    <mergeCell ref="E4:F4"/>
    <mergeCell ref="G4:H4"/>
  </mergeCells>
  <phoneticPr fontId="2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15"/>
  <sheetViews>
    <sheetView tabSelected="1" topLeftCell="A10" workbookViewId="0">
      <selection activeCell="F36" sqref="F36"/>
    </sheetView>
  </sheetViews>
  <sheetFormatPr defaultRowHeight="16.5"/>
  <cols>
    <col min="2" max="2" width="15" customWidth="1"/>
    <col min="3" max="6" width="14.5" customWidth="1"/>
  </cols>
  <sheetData>
    <row r="1" spans="1:6">
      <c r="A1" s="1"/>
      <c r="B1" s="1"/>
      <c r="C1" s="1"/>
      <c r="D1" s="1"/>
      <c r="E1" s="1"/>
      <c r="F1" s="1"/>
    </row>
    <row r="2" spans="1:6" ht="26.25">
      <c r="A2" s="1"/>
      <c r="B2" s="2" t="s">
        <v>205</v>
      </c>
      <c r="C2" s="1"/>
      <c r="D2" s="1"/>
      <c r="E2" s="1"/>
      <c r="F2" s="1"/>
    </row>
    <row r="3" spans="1:6">
      <c r="A3" s="1"/>
      <c r="B3" s="1"/>
      <c r="C3" s="1"/>
      <c r="D3" s="1"/>
      <c r="E3" s="1"/>
      <c r="F3" s="1"/>
    </row>
    <row r="4" spans="1:6">
      <c r="A4" s="1"/>
      <c r="B4" s="23" t="s">
        <v>206</v>
      </c>
      <c r="C4" s="23" t="s">
        <v>207</v>
      </c>
      <c r="D4" s="23" t="s">
        <v>208</v>
      </c>
      <c r="E4" s="23" t="s">
        <v>209</v>
      </c>
      <c r="F4" s="23" t="s">
        <v>210</v>
      </c>
    </row>
    <row r="5" spans="1:6">
      <c r="A5" s="1"/>
      <c r="B5" s="34">
        <v>44200</v>
      </c>
      <c r="C5" s="35">
        <v>132132</v>
      </c>
      <c r="D5" s="35">
        <v>721000</v>
      </c>
      <c r="E5" s="35">
        <v>0</v>
      </c>
      <c r="F5" s="36">
        <v>1530.2</v>
      </c>
    </row>
    <row r="6" spans="1:6">
      <c r="A6" s="1"/>
      <c r="B6" s="34">
        <v>44201</v>
      </c>
      <c r="C6" s="35">
        <v>182736</v>
      </c>
      <c r="D6" s="35">
        <v>738000</v>
      </c>
      <c r="E6" s="35">
        <f>D6-D5</f>
        <v>17000</v>
      </c>
      <c r="F6" s="36">
        <v>1570.12</v>
      </c>
    </row>
    <row r="7" spans="1:6">
      <c r="A7" s="1"/>
      <c r="B7" s="34">
        <v>44202</v>
      </c>
      <c r="C7" s="35">
        <v>92734</v>
      </c>
      <c r="D7" s="35">
        <v>740000</v>
      </c>
      <c r="E7" s="35">
        <f t="shared" ref="E7:E15" si="0">D7-D6</f>
        <v>2000</v>
      </c>
      <c r="F7" s="36">
        <v>1572.78</v>
      </c>
    </row>
    <row r="8" spans="1:6">
      <c r="A8" s="1"/>
      <c r="B8" s="34">
        <v>44203</v>
      </c>
      <c r="C8" s="35">
        <v>46823</v>
      </c>
      <c r="D8" s="35">
        <v>734000</v>
      </c>
      <c r="E8" s="35">
        <f t="shared" si="0"/>
        <v>-6000</v>
      </c>
      <c r="F8" s="36">
        <v>1543.53</v>
      </c>
    </row>
    <row r="9" spans="1:6">
      <c r="A9" s="1"/>
      <c r="B9" s="34">
        <v>44204</v>
      </c>
      <c r="C9" s="35">
        <v>148323</v>
      </c>
      <c r="D9" s="35">
        <v>723000</v>
      </c>
      <c r="E9" s="35">
        <f t="shared" si="0"/>
        <v>-11000</v>
      </c>
      <c r="F9" s="36">
        <v>1529.62</v>
      </c>
    </row>
    <row r="10" spans="1:6">
      <c r="A10" s="1"/>
      <c r="B10" s="34">
        <v>44207</v>
      </c>
      <c r="C10" s="35">
        <v>37464</v>
      </c>
      <c r="D10" s="35">
        <v>719000</v>
      </c>
      <c r="E10" s="35">
        <f t="shared" si="0"/>
        <v>-4000</v>
      </c>
      <c r="F10" s="36">
        <v>1528.1</v>
      </c>
    </row>
    <row r="11" spans="1:6">
      <c r="A11" s="1"/>
      <c r="B11" s="34">
        <v>44208</v>
      </c>
      <c r="C11" s="35">
        <v>200374</v>
      </c>
      <c r="D11" s="35">
        <v>726000</v>
      </c>
      <c r="E11" s="35">
        <f t="shared" si="0"/>
        <v>7000</v>
      </c>
      <c r="F11" s="36">
        <v>1538.41</v>
      </c>
    </row>
    <row r="12" spans="1:6">
      <c r="A12" s="1"/>
      <c r="B12" s="34">
        <v>44209</v>
      </c>
      <c r="C12" s="35">
        <v>149723</v>
      </c>
      <c r="D12" s="35">
        <v>727000</v>
      </c>
      <c r="E12" s="35">
        <f t="shared" si="0"/>
        <v>1000</v>
      </c>
      <c r="F12" s="36">
        <v>1549.87</v>
      </c>
    </row>
    <row r="13" spans="1:6">
      <c r="A13" s="1"/>
      <c r="B13" s="34">
        <v>44210</v>
      </c>
      <c r="C13" s="35">
        <v>172583</v>
      </c>
      <c r="D13" s="35">
        <v>732000</v>
      </c>
      <c r="E13" s="35">
        <f t="shared" si="0"/>
        <v>5000</v>
      </c>
      <c r="F13" s="36">
        <v>1560.02</v>
      </c>
    </row>
    <row r="14" spans="1:6">
      <c r="A14" s="1"/>
      <c r="B14" s="34">
        <v>44211</v>
      </c>
      <c r="C14" s="35">
        <v>193746</v>
      </c>
      <c r="D14" s="35">
        <v>738000</v>
      </c>
      <c r="E14" s="35">
        <f t="shared" si="0"/>
        <v>6000</v>
      </c>
      <c r="F14" s="36">
        <v>1568.93</v>
      </c>
    </row>
    <row r="15" spans="1:6">
      <c r="A15" s="1"/>
      <c r="B15" s="37">
        <v>44214</v>
      </c>
      <c r="C15" s="38">
        <v>202732</v>
      </c>
      <c r="D15" s="38">
        <v>742000</v>
      </c>
      <c r="E15" s="38">
        <f t="shared" si="0"/>
        <v>4000</v>
      </c>
      <c r="F15" s="39">
        <v>1573.65</v>
      </c>
    </row>
  </sheetData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5</vt:i4>
      </vt:variant>
    </vt:vector>
  </HeadingPairs>
  <TitlesOfParts>
    <vt:vector size="14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기타경비</vt:lpstr>
      <vt:lpstr>순이익평균</vt:lpstr>
      <vt:lpstr>어린이회원명단</vt:lpstr>
      <vt:lpstr>연평균성장률</vt:lpstr>
      <vt:lpstr>원가비율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sejong2021</cp:lastModifiedBy>
  <dcterms:created xsi:type="dcterms:W3CDTF">2020-04-10T09:57:27Z</dcterms:created>
  <dcterms:modified xsi:type="dcterms:W3CDTF">2022-09-28T04:24:27Z</dcterms:modified>
</cp:coreProperties>
</file>